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PFbJbZskNVaPkz3gHusc7wMDYsfMxAvLKsfSVzMAZ9Dov/3c7EIWET3aj5+vLhMbmskjAP6WVHs6kqQrw05qXA==" workbookSaltValue="S6WPApumU/NdncaJH+e8jw==" workbookSpinCount="100000" lockStructure="1"/>
  <bookViews>
    <workbookView windowWidth="20750" windowHeight="10480"/>
  </bookViews>
  <sheets>
    <sheet name="个人填写表单" sheetId="3" r:id="rId1"/>
    <sheet name="得分表" sheetId="2" state="hidden" r:id="rId2"/>
  </sheets>
  <definedNames>
    <definedName name="_xlnm._FilterDatabase" localSheetId="1" hidden="1">得分表!$A$1:$AP$186</definedName>
    <definedName name="_xlnm.Print_Area" localSheetId="0">个人填写表单!$A$1:$I$62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<sst xmlns="http://schemas.openxmlformats.org/spreadsheetml/2006/main" count="1388" uniqueCount="144">
  <si>
    <r>
      <rPr>
        <u/>
        <sz val="18"/>
        <color theme="1"/>
        <rFont val="黑体"/>
        <charset val="134"/>
      </rPr>
      <t>2024-2025</t>
    </r>
    <r>
      <rPr>
        <sz val="18"/>
        <color theme="1"/>
        <rFont val="黑体"/>
        <charset val="134"/>
      </rPr>
      <t>学年管理学院本科生素质能力评价量化评分表</t>
    </r>
  </si>
  <si>
    <t>学号</t>
  </si>
  <si>
    <t>202218271084</t>
  </si>
  <si>
    <t>姓名</t>
  </si>
  <si>
    <t>文雪</t>
  </si>
  <si>
    <t>年级</t>
  </si>
  <si>
    <t>23级</t>
  </si>
  <si>
    <t>班级</t>
  </si>
  <si>
    <t>供应链管理</t>
  </si>
  <si>
    <t>模块</t>
  </si>
  <si>
    <t>类别</t>
  </si>
  <si>
    <t>活动名称</t>
  </si>
  <si>
    <t>参与类别</t>
  </si>
  <si>
    <t>获奖级别</t>
  </si>
  <si>
    <t>获奖等级</t>
  </si>
  <si>
    <t>加分</t>
  </si>
  <si>
    <t>小计</t>
  </si>
  <si>
    <t>总计</t>
  </si>
  <si>
    <t>备注</t>
  </si>
  <si>
    <t>身
心
素
养</t>
  </si>
  <si>
    <t>基础性
评价</t>
  </si>
  <si>
    <t>《国家学生体质健康标准》测试达标</t>
  </si>
  <si>
    <t>个人项目</t>
  </si>
  <si>
    <t>校级</t>
  </si>
  <si>
    <t>参与</t>
  </si>
  <si>
    <t>基础性评价不设获奖等级，不区分个人或集体项目，参与即得分。</t>
  </si>
  <si>
    <t>国家安全知识竞赛</t>
  </si>
  <si>
    <t>管理学院2025年体育文化节暨院庆体育嘉年华趣味运动会集体跳绳</t>
  </si>
  <si>
    <t>集体项目</t>
  </si>
  <si>
    <t>成果性
评价</t>
  </si>
  <si>
    <t>在体育竞赛中取得名次或奖项，为校院争得荣誉可在成果性评价计算加分，不累计加分，按单次最高得分计算。具体加分查看《管理学院本科生素质能力评价实施细则》“身心素养”部分。</t>
  </si>
  <si>
    <t>文
艺
素
养</t>
  </si>
  <si>
    <t>管理学院迎新晚会</t>
  </si>
  <si>
    <t>院级</t>
  </si>
  <si>
    <r>
      <rPr>
        <sz val="9"/>
        <color theme="1"/>
        <rFont val="宋体"/>
        <charset val="134"/>
        <scheme val="minor"/>
      </rPr>
      <t xml:space="preserve">参加文艺展演，在文艺竞赛中取得名次或奖项，为校院争得荣誉可在成果性评价计算加分，不累计加分，按单次最高得分计算。具体加分查看《管理学院本科生素质能力评价实施细则》“文艺素养”部分。
</t>
    </r>
    <r>
      <rPr>
        <sz val="9"/>
        <color rgb="FFFF0000"/>
        <rFont val="宋体"/>
        <charset val="134"/>
        <scheme val="minor"/>
      </rPr>
      <t>*大英赛等文化知识类竞赛获奖可在此加分</t>
    </r>
  </si>
  <si>
    <t>劳
动
素
养</t>
  </si>
  <si>
    <t>社会工作(A)</t>
  </si>
  <si>
    <t>/</t>
  </si>
  <si>
    <t>无任职</t>
  </si>
  <si>
    <t>本模块包含社会工作、社会实践、志愿服务、生涯发展、宿舍劳动五项基础加分，请按个人情况填写。</t>
  </si>
  <si>
    <t>社会实践班级考评</t>
  </si>
  <si>
    <t>社会实践(B)</t>
  </si>
  <si>
    <t>考评合格</t>
  </si>
  <si>
    <t>本学年志愿服务时长</t>
  </si>
  <si>
    <t>志愿服务(C)</t>
  </si>
  <si>
    <t>C志愿时长满2小时</t>
  </si>
  <si>
    <t>生涯发展类比赛：xxx</t>
  </si>
  <si>
    <t>生涯发展(D)</t>
  </si>
  <si>
    <t>未参与</t>
  </si>
  <si>
    <t>xx号楼xx宿舍</t>
  </si>
  <si>
    <t>宿舍劳动(E)</t>
  </si>
  <si>
    <t>全年无不合格</t>
  </si>
  <si>
    <t>如获得集体荣誉，该任期内学生干部可获得加分，加分分为主要/其它两个等级。例：校先进班集体，班长、团支书为主要负责人，其它班委为其他学生干部。</t>
  </si>
  <si>
    <t>2024-2025学年暑期社会实践校级立项</t>
  </si>
  <si>
    <t>团队其他成员</t>
  </si>
  <si>
    <t>社会实践考评结果计入本学年基础性评价，社会实践个人、团队奖项计入下一学年综合测评。</t>
  </si>
  <si>
    <t>退役复学(F)</t>
  </si>
  <si>
    <t>校院立项</t>
  </si>
  <si>
    <t>如有其它表格中未包含的加分情况请在此部分填写。</t>
  </si>
  <si>
    <t>总分</t>
  </si>
  <si>
    <t>所填奖项获得时间需为2024年9月1日至2025年8月31日。</t>
  </si>
  <si>
    <t>类型</t>
  </si>
  <si>
    <t>级别</t>
  </si>
  <si>
    <t>等级</t>
  </si>
  <si>
    <t>得分</t>
  </si>
  <si>
    <t>身心素养</t>
  </si>
  <si>
    <t>基础性评价</t>
  </si>
  <si>
    <t>成果性评价</t>
  </si>
  <si>
    <t>国家级</t>
  </si>
  <si>
    <t>一等</t>
  </si>
  <si>
    <t>文艺素养</t>
  </si>
  <si>
    <t>劳动素养</t>
  </si>
  <si>
    <t>任职满一年</t>
  </si>
  <si>
    <t>考核</t>
  </si>
  <si>
    <t>合格/优秀（一年）</t>
  </si>
  <si>
    <t>二等</t>
  </si>
  <si>
    <t>任职满半年</t>
  </si>
  <si>
    <t>合格/优秀（半年）</t>
  </si>
  <si>
    <t>地市级</t>
  </si>
  <si>
    <t>三等</t>
  </si>
  <si>
    <t>个人荣誉/集体荣誉主要负责人</t>
  </si>
  <si>
    <t>省部级</t>
  </si>
  <si>
    <t>其他等次</t>
  </si>
  <si>
    <t>考评优秀</t>
  </si>
  <si>
    <t>未考评</t>
  </si>
  <si>
    <t>C志愿时长不满2小时</t>
  </si>
  <si>
    <t>集体荣誉（其他学生干部）</t>
  </si>
  <si>
    <t>C志愿时长满4小时</t>
  </si>
  <si>
    <t>C志愿时长满6小时</t>
  </si>
  <si>
    <t>作者</t>
  </si>
  <si>
    <t>发表</t>
  </si>
  <si>
    <t>C志愿时长满8小时</t>
  </si>
  <si>
    <t>C志愿时长满10小时</t>
  </si>
  <si>
    <t>C志愿时长满12小时</t>
  </si>
  <si>
    <t>C志愿时长满14小时</t>
  </si>
  <si>
    <t>C志愿时长满16小时</t>
  </si>
  <si>
    <t>C志愿时长满18小时</t>
  </si>
  <si>
    <t>C志愿时长满20小时</t>
  </si>
  <si>
    <t>C志愿时长满22小时</t>
  </si>
  <si>
    <t>社会实践(B)/志愿服务(C)</t>
  </si>
  <si>
    <t>个人荣誉称号/团队负责人</t>
  </si>
  <si>
    <t>C志愿时长满24小时</t>
  </si>
  <si>
    <t>C志愿时长满26小时</t>
  </si>
  <si>
    <t>C志愿时长满28小时</t>
  </si>
  <si>
    <t>C志愿时长满30小时</t>
  </si>
  <si>
    <t>院级-参与</t>
  </si>
  <si>
    <t>校级-参与</t>
  </si>
  <si>
    <t>省级及以上-参与</t>
  </si>
  <si>
    <t>全年无不合格并获1次优秀</t>
  </si>
  <si>
    <t>一等-队长</t>
  </si>
  <si>
    <t>全年无不合格并获2次优秀</t>
  </si>
  <si>
    <t>一等-其他成员</t>
  </si>
  <si>
    <t>全年无不合格并获3次优秀</t>
  </si>
  <si>
    <t>二等-队长</t>
  </si>
  <si>
    <t>有不合格宿舍</t>
  </si>
  <si>
    <t>二等-其他成员</t>
  </si>
  <si>
    <t>三等-队长</t>
  </si>
  <si>
    <t>破纪录</t>
  </si>
  <si>
    <t>特等</t>
  </si>
  <si>
    <t>三等-其他成员</t>
  </si>
  <si>
    <t>其他等次-队长</t>
  </si>
  <si>
    <t>其他等次-其他成员</t>
  </si>
  <si>
    <t>趣味类比赛</t>
  </si>
  <si>
    <t>主要演员</t>
  </si>
  <si>
    <t>校合唱节</t>
  </si>
  <si>
    <t>山大日记</t>
  </si>
  <si>
    <t>头条</t>
  </si>
  <si>
    <t>非头条</t>
  </si>
  <si>
    <t>个人一等</t>
  </si>
  <si>
    <t>个人二等</t>
  </si>
  <si>
    <t>个人三等</t>
  </si>
  <si>
    <t>星级宿舍（舍长）</t>
  </si>
  <si>
    <t>五星级宿舍</t>
  </si>
  <si>
    <t>星级宿舍（舍员）</t>
  </si>
  <si>
    <t>四星级宿舍</t>
  </si>
  <si>
    <t>三星级宿舍</t>
  </si>
  <si>
    <t>未获评</t>
  </si>
  <si>
    <t>校级宿舍文化节（个人/主要负责人）</t>
  </si>
  <si>
    <t>校级宿舍文化节（其他成员）</t>
  </si>
  <si>
    <t>三等及其他</t>
  </si>
  <si>
    <t>院级宿舍文化节（个人/主要负责人）</t>
  </si>
  <si>
    <t>院级宿舍文化节（其他成员）</t>
  </si>
  <si>
    <t>负责人</t>
  </si>
  <si>
    <t>其他人员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</si>
</sst>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u/>
      <sz val="18"/>
      <color theme="1"/>
      <name val="黑体"/>
      <charset val="134"/>
    </font>
    <font>
      <sz val="18"/>
      <color theme="1"/>
      <name val="黑体"/>
      <charset val="134"/>
    </font>
    <font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rgb="FFFF0000"/>
      <name val="黑体"/>
      <charset val="134"/>
    </font>
    <font>
      <sz val="9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8"/>
      <color rgb="FFFF000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FF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2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7" applyNumberFormat="0" applyFill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29" applyNumberFormat="0" applyAlignment="0" applyProtection="0">
      <alignment vertical="center"/>
    </xf>
    <xf numFmtId="0" fontId="20" fillId="7" borderId="30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2" fillId="8" borderId="31" applyNumberFormat="0" applyAlignment="0" applyProtection="0">
      <alignment vertical="center"/>
    </xf>
    <xf numFmtId="0" fontId="23" fillId="0" borderId="32" applyNumberFormat="0" applyFill="0" applyAlignment="0" applyProtection="0">
      <alignment vertical="center"/>
    </xf>
    <xf numFmtId="0" fontId="24" fillId="0" borderId="33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0" fillId="0" borderId="1" xfId="0" applyBorder="1">
      <alignment vertical="center"/>
    </xf>
    <xf numFmtId="49" fontId="0" fillId="0" borderId="0" xfId="0" applyNumberFormat="1">
      <alignment vertical="center"/>
    </xf>
    <xf numFmtId="0" fontId="0" fillId="0" borderId="0" xfId="0" applyProtection="1">
      <alignment vertical="center"/>
      <protection locked="0"/>
    </xf>
    <xf numFmtId="0" fontId="0" fillId="0" borderId="0" xfId="0" applyAlignment="1" applyProtection="1">
      <alignment horizontal="center" vertical="center" shrinkToFi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4" fillId="2" borderId="6" xfId="0" applyFont="1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4" fillId="2" borderId="6" xfId="0" applyFont="1" applyFill="1" applyBorder="1" applyAlignment="1" applyProtection="1">
      <alignment horizontal="center" vertical="center" shrinkToFit="1"/>
      <protection locked="0"/>
    </xf>
    <xf numFmtId="0" fontId="0" fillId="2" borderId="6" xfId="0" applyFill="1" applyBorder="1" applyAlignment="1" applyProtection="1">
      <alignment horizontal="center" vertical="center" shrinkToFit="1"/>
      <protection locked="0"/>
    </xf>
    <xf numFmtId="0" fontId="0" fillId="2" borderId="7" xfId="0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shrinkToFit="1"/>
    </xf>
    <xf numFmtId="0" fontId="4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4" fillId="2" borderId="9" xfId="0" applyFont="1" applyFill="1" applyBorder="1" applyAlignment="1">
      <alignment horizontal="center" vertical="center" wrapText="1"/>
    </xf>
    <xf numFmtId="0" fontId="0" fillId="0" borderId="9" xfId="0" applyBorder="1" applyAlignment="1" applyProtection="1">
      <alignment horizontal="center" vertical="center" shrinkToFit="1"/>
      <protection locked="0"/>
    </xf>
    <xf numFmtId="0" fontId="0" fillId="3" borderId="9" xfId="0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4" fillId="2" borderId="10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>
      <alignment horizontal="center" vertical="center"/>
    </xf>
    <xf numFmtId="0" fontId="0" fillId="0" borderId="11" xfId="0" applyBorder="1" applyAlignment="1" applyProtection="1">
      <alignment horizontal="center" vertical="center" shrinkToFit="1"/>
      <protection locked="0"/>
    </xf>
    <xf numFmtId="0" fontId="0" fillId="3" borderId="11" xfId="0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0" fillId="0" borderId="13" xfId="0" applyFill="1" applyBorder="1" applyAlignment="1" applyProtection="1">
      <alignment horizontal="center" vertical="center" shrinkToFit="1"/>
      <protection locked="0"/>
    </xf>
    <xf numFmtId="0" fontId="0" fillId="0" borderId="13" xfId="0" applyBorder="1" applyAlignment="1" applyProtection="1">
      <alignment horizontal="center" vertical="center" shrinkToFit="1"/>
      <protection locked="0"/>
    </xf>
    <xf numFmtId="0" fontId="0" fillId="3" borderId="13" xfId="0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7" fillId="0" borderId="14" xfId="0" applyFont="1" applyBorder="1" applyAlignment="1" applyProtection="1">
      <alignment horizontal="center" vertical="center" shrinkToFit="1"/>
      <protection locked="0"/>
    </xf>
    <xf numFmtId="0" fontId="0" fillId="0" borderId="14" xfId="0" applyBorder="1" applyAlignment="1" applyProtection="1">
      <alignment horizontal="center" vertical="center" shrinkToFit="1"/>
      <protection locked="0"/>
    </xf>
    <xf numFmtId="0" fontId="0" fillId="3" borderId="14" xfId="0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7" fillId="0" borderId="11" xfId="0" applyFont="1" applyBorder="1" applyAlignment="1" applyProtection="1">
      <alignment horizontal="center" vertical="center" shrinkToFit="1"/>
      <protection locked="0"/>
    </xf>
    <xf numFmtId="0" fontId="4" fillId="2" borderId="15" xfId="0" applyFont="1" applyFill="1" applyBorder="1" applyAlignment="1" applyProtection="1">
      <alignment horizontal="center" vertical="center" wrapText="1"/>
      <protection locked="0"/>
    </xf>
    <xf numFmtId="0" fontId="5" fillId="3" borderId="16" xfId="0" applyFont="1" applyFill="1" applyBorder="1" applyAlignment="1">
      <alignment horizontal="center" vertical="center"/>
    </xf>
    <xf numFmtId="0" fontId="0" fillId="0" borderId="17" xfId="0" applyBorder="1" applyAlignment="1" applyProtection="1">
      <alignment horizontal="center" vertical="center" shrinkToFit="1"/>
      <protection locked="0"/>
    </xf>
    <xf numFmtId="0" fontId="4" fillId="3" borderId="18" xfId="0" applyFont="1" applyFill="1" applyBorder="1" applyAlignment="1">
      <alignment horizontal="center" vertical="center"/>
    </xf>
    <xf numFmtId="0" fontId="0" fillId="0" borderId="19" xfId="0" applyBorder="1" applyAlignment="1" applyProtection="1">
      <alignment horizontal="center" vertical="center" shrinkToFit="1"/>
      <protection locked="0"/>
    </xf>
    <xf numFmtId="0" fontId="4" fillId="3" borderId="20" xfId="0" applyFont="1" applyFill="1" applyBorder="1" applyAlignment="1">
      <alignment horizontal="center" vertical="center"/>
    </xf>
    <xf numFmtId="0" fontId="0" fillId="0" borderId="21" xfId="0" applyBorder="1" applyAlignment="1" applyProtection="1">
      <alignment horizontal="center" vertical="center" shrinkToFit="1"/>
      <protection locked="0"/>
    </xf>
    <xf numFmtId="0" fontId="4" fillId="3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 applyProtection="1">
      <alignment horizontal="center" vertical="center" wrapText="1"/>
      <protection locked="0"/>
    </xf>
    <xf numFmtId="0" fontId="4" fillId="2" borderId="24" xfId="0" applyFont="1" applyFill="1" applyBorder="1" applyAlignment="1">
      <alignment horizontal="center" vertical="center"/>
    </xf>
    <xf numFmtId="0" fontId="0" fillId="0" borderId="24" xfId="0" applyBorder="1" applyAlignment="1" applyProtection="1">
      <alignment horizontal="center" vertical="center" shrinkToFit="1"/>
      <protection locked="0"/>
    </xf>
    <xf numFmtId="0" fontId="0" fillId="3" borderId="24" xfId="0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shrinkToFit="1"/>
    </xf>
    <xf numFmtId="0" fontId="0" fillId="2" borderId="11" xfId="0" applyFill="1" applyBorder="1" applyAlignment="1">
      <alignment horizontal="center" vertical="center" shrinkToFit="1"/>
    </xf>
    <xf numFmtId="0" fontId="0" fillId="2" borderId="13" xfId="0" applyFill="1" applyBorder="1" applyAlignment="1">
      <alignment horizontal="center" vertical="center" shrinkToFit="1"/>
    </xf>
    <xf numFmtId="0" fontId="0" fillId="3" borderId="25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 shrinkToFit="1"/>
    </xf>
    <xf numFmtId="0" fontId="4" fillId="2" borderId="1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shrinkToFit="1"/>
    </xf>
    <xf numFmtId="0" fontId="0" fillId="2" borderId="14" xfId="0" applyFill="1" applyBorder="1" applyAlignment="1">
      <alignment horizontal="center" vertical="center" shrinkToFit="1"/>
    </xf>
    <xf numFmtId="0" fontId="0" fillId="0" borderId="11" xfId="0" applyFill="1" applyBorder="1" applyAlignment="1" applyProtection="1">
      <alignment horizontal="center" vertical="center" shrinkToFit="1"/>
      <protection locked="0"/>
    </xf>
    <xf numFmtId="0" fontId="0" fillId="0" borderId="0" xfId="0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shrinkToFit="1"/>
    </xf>
    <xf numFmtId="0" fontId="10" fillId="4" borderId="7" xfId="0" applyFont="1" applyFill="1" applyBorder="1" applyAlignment="1">
      <alignment horizontal="center" vertical="center"/>
    </xf>
    <xf numFmtId="0" fontId="0" fillId="2" borderId="6" xfId="0" applyFill="1" applyBorder="1" applyAlignment="1" applyProtection="1" quotePrefix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63"/>
  <sheetViews>
    <sheetView tabSelected="1" topLeftCell="A32" workbookViewId="0">
      <selection activeCell="F9" sqref="F9"/>
    </sheetView>
  </sheetViews>
  <sheetFormatPr defaultColWidth="9" defaultRowHeight="14"/>
  <cols>
    <col min="1" max="1" width="6.90909090909091" style="3" customWidth="1"/>
    <col min="2" max="2" width="9.36363636363636" style="3" customWidth="1"/>
    <col min="3" max="3" width="35.8181818181818" style="4" customWidth="1"/>
    <col min="4" max="5" width="14" style="4" customWidth="1"/>
    <col min="6" max="6" width="16" style="4" customWidth="1"/>
    <col min="7" max="8" width="8.72727272727273" style="5" customWidth="1"/>
    <col min="9" max="9" width="10.0909090909091" style="5" customWidth="1"/>
    <col min="10" max="10" width="28.6363636363636" style="6" customWidth="1"/>
    <col min="11" max="16384" width="9" style="3"/>
  </cols>
  <sheetData>
    <row r="1" ht="31" customHeight="1" spans="1:10">
      <c r="A1" s="7" t="s">
        <v>0</v>
      </c>
      <c r="B1" s="8"/>
      <c r="C1" s="9"/>
      <c r="D1" s="9"/>
      <c r="E1" s="9"/>
      <c r="F1" s="9"/>
      <c r="G1" s="8"/>
      <c r="H1" s="8"/>
      <c r="I1" s="10"/>
      <c r="J1" s="11"/>
    </row>
    <row r="2" ht="21" customHeight="1" spans="1:10">
      <c r="A2" s="12"/>
      <c r="B2" s="13" t="s">
        <v>1</v>
      </c>
      <c r="C2" s="77" t="s">
        <v>2</v>
      </c>
      <c r="D2" s="15" t="s">
        <v>3</v>
      </c>
      <c r="E2" s="16" t="s">
        <v>4</v>
      </c>
      <c r="F2" s="15" t="s">
        <v>5</v>
      </c>
      <c r="G2" s="14" t="s">
        <v>6</v>
      </c>
      <c r="H2" s="13" t="s">
        <v>7</v>
      </c>
      <c r="I2" s="17" t="s">
        <v>8</v>
      </c>
      <c r="J2" s="18"/>
    </row>
    <row r="3" ht="19" customHeight="1" spans="1:10">
      <c r="A3" s="19" t="s">
        <v>9</v>
      </c>
      <c r="B3" s="20" t="s">
        <v>10</v>
      </c>
      <c r="C3" s="21" t="s">
        <v>11</v>
      </c>
      <c r="D3" s="21" t="s">
        <v>12</v>
      </c>
      <c r="E3" s="21" t="s">
        <v>13</v>
      </c>
      <c r="F3" s="21" t="s">
        <v>14</v>
      </c>
      <c r="G3" s="20" t="s">
        <v>15</v>
      </c>
      <c r="H3" s="22" t="s">
        <v>16</v>
      </c>
      <c r="I3" s="22" t="s">
        <v>17</v>
      </c>
      <c r="J3" s="23" t="s">
        <v>18</v>
      </c>
    </row>
    <row r="4" spans="1:10">
      <c r="A4" s="24" t="s">
        <v>19</v>
      </c>
      <c r="B4" s="25" t="s">
        <v>20</v>
      </c>
      <c r="C4" s="26" t="s">
        <v>21</v>
      </c>
      <c r="D4" s="26" t="s">
        <v>22</v>
      </c>
      <c r="E4" s="26" t="s">
        <v>23</v>
      </c>
      <c r="F4" s="26" t="s">
        <v>24</v>
      </c>
      <c r="G4" s="27">
        <f>LOOKUP(0,0/((D4=得分表!C:C)*(E4=得分表!D:D)*(F4=得分表!E:E)),得分表!F:F)</f>
        <v>6</v>
      </c>
      <c r="H4" s="28">
        <f>IF(SUM(G4:G6)&lt;9,SUM(G4:G6),9)</f>
        <v>9</v>
      </c>
      <c r="I4" s="29">
        <f>H4+H7</f>
        <v>9</v>
      </c>
      <c r="J4" s="30" t="s">
        <v>25</v>
      </c>
    </row>
    <row r="5" spans="1:10">
      <c r="A5" s="31"/>
      <c r="B5" s="32"/>
      <c r="C5" s="33" t="s">
        <v>26</v>
      </c>
      <c r="D5" s="33" t="s">
        <v>22</v>
      </c>
      <c r="E5" s="33" t="s">
        <v>23</v>
      </c>
      <c r="F5" s="33" t="s">
        <v>24</v>
      </c>
      <c r="G5" s="34">
        <f>LOOKUP(0,0/((D5=得分表!C:C)*(E5=得分表!D:D)*(F5=得分表!E:E)),得分表!F:F)</f>
        <v>6</v>
      </c>
      <c r="H5" s="35"/>
      <c r="I5" s="36"/>
      <c r="J5" s="30"/>
    </row>
    <row r="6" ht="14.75" spans="1:10">
      <c r="A6" s="31"/>
      <c r="B6" s="37"/>
      <c r="C6" s="38" t="s">
        <v>27</v>
      </c>
      <c r="D6" s="39" t="s">
        <v>28</v>
      </c>
      <c r="E6" s="39" t="s">
        <v>23</v>
      </c>
      <c r="F6" s="39" t="s">
        <v>24</v>
      </c>
      <c r="G6" s="40">
        <f>LOOKUP(0,0/((D6=得分表!C:C)*(E6=得分表!D:D)*(F6=得分表!E:E)),得分表!F:F)</f>
        <v>6</v>
      </c>
      <c r="H6" s="41"/>
      <c r="I6" s="36"/>
      <c r="J6" s="30"/>
    </row>
    <row r="7" spans="1:10">
      <c r="A7" s="31"/>
      <c r="B7" s="42" t="s">
        <v>29</v>
      </c>
      <c r="C7" s="43"/>
      <c r="D7" s="44"/>
      <c r="E7" s="44"/>
      <c r="F7" s="44"/>
      <c r="G7" s="45">
        <f>LOOKUP(0,0/((D7=得分表!J:J)*(E7=得分表!K:K)*(F7=得分表!L:L)),得分表!M:M)</f>
        <v>0</v>
      </c>
      <c r="H7" s="46">
        <f>IF(SUM(G7:G16)&lt;6,SUM(G7:G16),6)</f>
        <v>0</v>
      </c>
      <c r="I7" s="36"/>
      <c r="J7" s="30" t="s">
        <v>30</v>
      </c>
    </row>
    <row r="8" spans="1:10">
      <c r="A8" s="31"/>
      <c r="B8" s="32"/>
      <c r="C8" s="47"/>
      <c r="D8" s="33"/>
      <c r="E8" s="33"/>
      <c r="F8" s="33"/>
      <c r="G8" s="34">
        <f>LOOKUP(0,0/((D8=得分表!J:J)*(E8=得分表!K:K)*(F8=得分表!L:L)),得分表!M:M)</f>
        <v>0</v>
      </c>
      <c r="H8" s="35"/>
      <c r="I8" s="36"/>
      <c r="J8" s="30"/>
    </row>
    <row r="9" spans="1:10">
      <c r="A9" s="31"/>
      <c r="B9" s="32"/>
      <c r="C9" s="4"/>
      <c r="D9" s="33"/>
      <c r="E9" s="33"/>
      <c r="F9" s="33"/>
      <c r="G9" s="34">
        <f>LOOKUP(0,0/((D9=得分表!J:J)*(E9=得分表!K:K)*(F9=得分表!L:L)),得分表!M:M)</f>
        <v>0</v>
      </c>
      <c r="H9" s="35"/>
      <c r="I9" s="36"/>
      <c r="J9" s="30"/>
    </row>
    <row r="10" spans="1:10">
      <c r="A10" s="31"/>
      <c r="B10" s="32"/>
      <c r="D10" s="33"/>
      <c r="E10" s="33"/>
      <c r="F10" s="33"/>
      <c r="G10" s="34">
        <f>LOOKUP(0,0/((D10=得分表!J:J)*(E10=得分表!K:K)*(F10=得分表!L:L)),得分表!M:M)</f>
        <v>0</v>
      </c>
      <c r="H10" s="35"/>
      <c r="I10" s="36"/>
      <c r="J10" s="30"/>
    </row>
    <row r="11" spans="1:10">
      <c r="A11" s="31"/>
      <c r="B11" s="32"/>
      <c r="C11" s="47"/>
      <c r="D11" s="33"/>
      <c r="E11" s="33"/>
      <c r="F11" s="33"/>
      <c r="G11" s="34">
        <f>LOOKUP(0,0/((D11=得分表!J:J)*(E11=得分表!K:K)*(F11=得分表!L:L)),得分表!M:M)</f>
        <v>0</v>
      </c>
      <c r="H11" s="35"/>
      <c r="I11" s="36"/>
      <c r="J11" s="30"/>
    </row>
    <row r="12" spans="1:10">
      <c r="A12" s="31"/>
      <c r="B12" s="32"/>
      <c r="C12" s="33"/>
      <c r="D12" s="33"/>
      <c r="E12" s="33"/>
      <c r="F12" s="33"/>
      <c r="G12" s="34">
        <f>LOOKUP(0,0/((D12=得分表!J:J)*(E12=得分表!K:K)*(F12=得分表!L:L)),得分表!M:M)</f>
        <v>0</v>
      </c>
      <c r="H12" s="35"/>
      <c r="I12" s="36"/>
      <c r="J12" s="30"/>
    </row>
    <row r="13" spans="1:10">
      <c r="A13" s="31"/>
      <c r="B13" s="32"/>
      <c r="C13" s="33"/>
      <c r="D13" s="33"/>
      <c r="E13" s="33"/>
      <c r="F13" s="33"/>
      <c r="G13" s="34">
        <f>LOOKUP(0,0/((D13=得分表!J:J)*(E13=得分表!K:K)*(F13=得分表!L:L)),得分表!M:M)</f>
        <v>0</v>
      </c>
      <c r="H13" s="35"/>
      <c r="I13" s="36"/>
      <c r="J13" s="30"/>
    </row>
    <row r="14" spans="1:10">
      <c r="A14" s="31"/>
      <c r="B14" s="32"/>
      <c r="C14" s="33"/>
      <c r="D14" s="33"/>
      <c r="E14" s="33"/>
      <c r="F14" s="33"/>
      <c r="G14" s="34">
        <f>LOOKUP(0,0/((D14=得分表!J:J)*(E14=得分表!K:K)*(F14=得分表!L:L)),得分表!M:M)</f>
        <v>0</v>
      </c>
      <c r="H14" s="35"/>
      <c r="I14" s="36"/>
      <c r="J14" s="30"/>
    </row>
    <row r="15" spans="1:10">
      <c r="A15" s="31"/>
      <c r="B15" s="32"/>
      <c r="C15" s="33"/>
      <c r="D15" s="33"/>
      <c r="E15" s="33"/>
      <c r="F15" s="33"/>
      <c r="G15" s="34">
        <f>LOOKUP(0,0/((D15=得分表!J:J)*(E15=得分表!K:K)*(F15=得分表!L:L)),得分表!M:M)</f>
        <v>0</v>
      </c>
      <c r="H15" s="35"/>
      <c r="I15" s="36"/>
      <c r="J15" s="30"/>
    </row>
    <row r="16" ht="14.75" spans="1:10">
      <c r="A16" s="48"/>
      <c r="B16" s="37"/>
      <c r="C16" s="39"/>
      <c r="D16" s="39"/>
      <c r="E16" s="39"/>
      <c r="F16" s="39"/>
      <c r="G16" s="40">
        <f>LOOKUP(0,0/((D16=得分表!J:J)*(E16=得分表!K:K)*(F16=得分表!L:L)),得分表!M:M)</f>
        <v>0</v>
      </c>
      <c r="H16" s="41"/>
      <c r="I16" s="49"/>
      <c r="J16" s="30"/>
    </row>
    <row r="17" spans="1:10">
      <c r="A17" s="24" t="s">
        <v>31</v>
      </c>
      <c r="B17" s="25" t="s">
        <v>20</v>
      </c>
      <c r="C17" s="26" t="s">
        <v>32</v>
      </c>
      <c r="D17" s="26" t="s">
        <v>28</v>
      </c>
      <c r="E17" s="26" t="s">
        <v>33</v>
      </c>
      <c r="F17" s="50" t="s">
        <v>24</v>
      </c>
      <c r="G17" s="45">
        <f>LOOKUP(0,0/((D17=得分表!Q:Q)*(E17=得分表!R:R)*(F17=得分表!S:S)),得分表!T:T)</f>
        <v>3</v>
      </c>
      <c r="H17" s="51">
        <f>IF(SUM(G17:G19)&lt;9,SUM(G17:G19),9)</f>
        <v>3</v>
      </c>
      <c r="I17" s="29">
        <f>H17+H20</f>
        <v>3</v>
      </c>
      <c r="J17" s="30" t="s">
        <v>25</v>
      </c>
    </row>
    <row r="18" spans="1:10">
      <c r="A18" s="31"/>
      <c r="B18" s="32"/>
      <c r="C18" s="33"/>
      <c r="D18" s="33"/>
      <c r="E18" s="33"/>
      <c r="F18" s="52"/>
      <c r="G18" s="34">
        <f>LOOKUP(0,0/((D18=得分表!Q:Q)*(E18=得分表!R:R)*(F18=得分表!S:S)),得分表!T:T)</f>
        <v>0</v>
      </c>
      <c r="H18" s="53"/>
      <c r="I18" s="36"/>
      <c r="J18" s="30"/>
    </row>
    <row r="19" ht="14.75" spans="1:10">
      <c r="A19" s="31"/>
      <c r="B19" s="37"/>
      <c r="C19" s="39"/>
      <c r="D19" s="39"/>
      <c r="E19" s="39"/>
      <c r="F19" s="54"/>
      <c r="G19" s="40">
        <f>LOOKUP(0,0/((D19=得分表!Q:Q)*(E19=得分表!R:R)*(F19=得分表!S:S)),得分表!T:T)</f>
        <v>0</v>
      </c>
      <c r="H19" s="55"/>
      <c r="I19" s="36"/>
      <c r="J19" s="30"/>
    </row>
    <row r="20" spans="1:10">
      <c r="A20" s="31"/>
      <c r="B20" s="42" t="s">
        <v>29</v>
      </c>
      <c r="C20" s="44"/>
      <c r="D20" s="44"/>
      <c r="E20" s="44"/>
      <c r="F20" s="44"/>
      <c r="G20" s="45">
        <f>LOOKUP(0,0/((D20=得分表!X:X)*(E20=得分表!Y:Y)*(F20=得分表!Z:Z)),得分表!AA:AA)</f>
        <v>0</v>
      </c>
      <c r="H20" s="46">
        <f>IF(SUM(G20:G29)&lt;6,SUM(G20:G29),6)</f>
        <v>0</v>
      </c>
      <c r="I20" s="36"/>
      <c r="J20" s="30" t="s">
        <v>34</v>
      </c>
    </row>
    <row r="21" spans="1:10">
      <c r="A21" s="31"/>
      <c r="B21" s="32"/>
      <c r="C21" s="33"/>
      <c r="D21" s="33"/>
      <c r="E21" s="33"/>
      <c r="F21" s="33"/>
      <c r="G21" s="34">
        <f>LOOKUP(0,0/((D21=得分表!X:X)*(E21=得分表!Y:Y)*(F21=得分表!Z:Z)),得分表!AA:AA)</f>
        <v>0</v>
      </c>
      <c r="H21" s="35"/>
      <c r="I21" s="36"/>
      <c r="J21" s="30"/>
    </row>
    <row r="22" spans="1:10">
      <c r="A22" s="31"/>
      <c r="B22" s="32"/>
      <c r="C22" s="33"/>
      <c r="D22" s="33"/>
      <c r="E22" s="33"/>
      <c r="F22" s="33"/>
      <c r="G22" s="34">
        <f>LOOKUP(0,0/((D22=得分表!X:X)*(E22=得分表!Y:Y)*(F22=得分表!Z:Z)),得分表!AA:AA)</f>
        <v>0</v>
      </c>
      <c r="H22" s="35"/>
      <c r="I22" s="36"/>
      <c r="J22" s="30"/>
    </row>
    <row r="23" spans="1:10">
      <c r="A23" s="31"/>
      <c r="B23" s="32"/>
      <c r="C23" s="33"/>
      <c r="D23" s="33"/>
      <c r="E23" s="33"/>
      <c r="F23" s="33"/>
      <c r="G23" s="34">
        <f>LOOKUP(0,0/((D23=得分表!X:X)*(E23=得分表!Y:Y)*(F23=得分表!Z:Z)),得分表!AA:AA)</f>
        <v>0</v>
      </c>
      <c r="H23" s="35"/>
      <c r="I23" s="36"/>
      <c r="J23" s="30"/>
    </row>
    <row r="24" spans="1:10">
      <c r="A24" s="31"/>
      <c r="B24" s="32"/>
      <c r="C24" s="33"/>
      <c r="D24" s="33"/>
      <c r="E24" s="33"/>
      <c r="F24" s="33"/>
      <c r="G24" s="34">
        <f>LOOKUP(0,0/((D24=得分表!X:X)*(E24=得分表!Y:Y)*(F24=得分表!Z:Z)),得分表!AA:AA)</f>
        <v>0</v>
      </c>
      <c r="H24" s="35"/>
      <c r="I24" s="36"/>
      <c r="J24" s="30"/>
    </row>
    <row r="25" spans="1:10">
      <c r="A25" s="31"/>
      <c r="B25" s="32"/>
      <c r="C25" s="33"/>
      <c r="D25" s="33"/>
      <c r="E25" s="33"/>
      <c r="F25" s="33"/>
      <c r="G25" s="34">
        <f>LOOKUP(0,0/((D25=得分表!X:X)*(E25=得分表!Y:Y)*(F25=得分表!Z:Z)),得分表!AA:AA)</f>
        <v>0</v>
      </c>
      <c r="H25" s="35"/>
      <c r="I25" s="36"/>
      <c r="J25" s="30"/>
    </row>
    <row r="26" spans="1:10">
      <c r="A26" s="31"/>
      <c r="B26" s="32"/>
      <c r="C26" s="33"/>
      <c r="D26" s="33"/>
      <c r="E26" s="33"/>
      <c r="F26" s="33"/>
      <c r="G26" s="34">
        <f>LOOKUP(0,0/((D26=得分表!X:X)*(E26=得分表!Y:Y)*(F26=得分表!Z:Z)),得分表!AA:AA)</f>
        <v>0</v>
      </c>
      <c r="H26" s="35"/>
      <c r="I26" s="36"/>
      <c r="J26" s="30"/>
    </row>
    <row r="27" spans="1:10">
      <c r="A27" s="31"/>
      <c r="B27" s="32"/>
      <c r="C27" s="33"/>
      <c r="D27" s="33"/>
      <c r="E27" s="33"/>
      <c r="F27" s="33"/>
      <c r="G27" s="34">
        <f>LOOKUP(0,0/((D27=得分表!X:X)*(E27=得分表!Y:Y)*(F27=得分表!Z:Z)),得分表!AA:AA)</f>
        <v>0</v>
      </c>
      <c r="H27" s="35"/>
      <c r="I27" s="36"/>
      <c r="J27" s="30"/>
    </row>
    <row r="28" spans="1:10">
      <c r="A28" s="31"/>
      <c r="B28" s="32"/>
      <c r="C28" s="33"/>
      <c r="D28" s="33"/>
      <c r="E28" s="33"/>
      <c r="F28" s="33"/>
      <c r="G28" s="34" cm="1">
        <f t="array" ref="G28">LOOKUP(0,0/(F28=得分表!Z:Z),得分表!AA:AA)</f>
        <v>0</v>
      </c>
      <c r="H28" s="35"/>
      <c r="I28" s="36"/>
      <c r="J28" s="30"/>
    </row>
    <row r="29" ht="14.75" spans="1:10">
      <c r="A29" s="56"/>
      <c r="B29" s="57"/>
      <c r="C29" s="58"/>
      <c r="D29" s="33"/>
      <c r="E29" s="33"/>
      <c r="F29" s="33"/>
      <c r="G29" s="59" cm="1">
        <f t="array" ref="G29">LOOKUP(0,0/(F29=得分表!Z:Z),得分表!AA:AA)</f>
        <v>0</v>
      </c>
      <c r="H29" s="60"/>
      <c r="I29" s="36"/>
      <c r="J29" s="30"/>
    </row>
    <row r="30" spans="1:10">
      <c r="A30" s="24" t="s">
        <v>35</v>
      </c>
      <c r="B30" s="25" t="s">
        <v>20</v>
      </c>
      <c r="C30" s="26"/>
      <c r="D30" s="61" t="s">
        <v>36</v>
      </c>
      <c r="E30" s="61" t="s">
        <v>37</v>
      </c>
      <c r="F30" s="26" t="s">
        <v>38</v>
      </c>
      <c r="G30" s="27">
        <f>LOOKUP(0,0/((D30=得分表!AE:AE)*(E30=得分表!AF:AF)*(F30=得分表!AG:AG)),得分表!AH:AH)</f>
        <v>0</v>
      </c>
      <c r="H30" s="28">
        <f>IF(SUM(G30:G34)&lt;15,SUM(G30:G34),15)</f>
        <v>13</v>
      </c>
      <c r="I30" s="29">
        <f>H30+H35</f>
        <v>15.5</v>
      </c>
      <c r="J30" s="30" t="s">
        <v>39</v>
      </c>
    </row>
    <row r="31" spans="1:10">
      <c r="A31" s="31"/>
      <c r="B31" s="32"/>
      <c r="C31" s="33" t="s">
        <v>40</v>
      </c>
      <c r="D31" s="62" t="s">
        <v>41</v>
      </c>
      <c r="E31" s="62" t="s">
        <v>37</v>
      </c>
      <c r="F31" s="33" t="s">
        <v>42</v>
      </c>
      <c r="G31" s="45">
        <f>LOOKUP(0,0/((D31=得分表!AE:AE)*(E31=得分表!AF:AF)*(F31=得分表!AG:AG)),得分表!AH:AH)</f>
        <v>6</v>
      </c>
      <c r="H31" s="35"/>
      <c r="I31" s="36"/>
      <c r="J31" s="30"/>
    </row>
    <row r="32" spans="1:10">
      <c r="A32" s="31"/>
      <c r="B32" s="32"/>
      <c r="C32" s="47" t="s">
        <v>43</v>
      </c>
      <c r="D32" s="62" t="s">
        <v>44</v>
      </c>
      <c r="E32" s="62" t="s">
        <v>37</v>
      </c>
      <c r="F32" s="33" t="s">
        <v>45</v>
      </c>
      <c r="G32" s="45">
        <f>LOOKUP(0,0/((D32=得分表!AE:AE)*(E32=得分表!AF:AF)*(F32=得分表!AG:AG)),得分表!AH:AH)</f>
        <v>1</v>
      </c>
      <c r="H32" s="35"/>
      <c r="I32" s="36"/>
      <c r="J32" s="30"/>
    </row>
    <row r="33" spans="1:10">
      <c r="A33" s="31"/>
      <c r="B33" s="32"/>
      <c r="C33" s="33" t="s">
        <v>46</v>
      </c>
      <c r="D33" s="62" t="s">
        <v>47</v>
      </c>
      <c r="E33" s="62" t="s">
        <v>37</v>
      </c>
      <c r="F33" s="33" t="s">
        <v>48</v>
      </c>
      <c r="G33" s="45">
        <f>LOOKUP(0,0/((D33=得分表!AE:AE)*(E33=得分表!AF:AF)*(F33=得分表!AG:AG)),得分表!AH:AH)</f>
        <v>0</v>
      </c>
      <c r="H33" s="35"/>
      <c r="I33" s="36"/>
      <c r="J33" s="30"/>
    </row>
    <row r="34" ht="14.75" spans="1:10">
      <c r="A34" s="31"/>
      <c r="B34" s="37"/>
      <c r="C34" s="39" t="s">
        <v>49</v>
      </c>
      <c r="D34" s="63" t="s">
        <v>50</v>
      </c>
      <c r="E34" s="63" t="s">
        <v>37</v>
      </c>
      <c r="F34" s="39" t="s">
        <v>51</v>
      </c>
      <c r="G34" s="64">
        <f>LOOKUP(0,0/((D34=得分表!AE:AE)*(E34=得分表!AF:AF)*(F34=得分表!AG:AG)),得分表!AH:AH)</f>
        <v>6</v>
      </c>
      <c r="H34" s="41"/>
      <c r="I34" s="36"/>
      <c r="J34" s="30"/>
    </row>
    <row r="35" spans="1:10">
      <c r="A35" s="31"/>
      <c r="B35" s="42" t="s">
        <v>29</v>
      </c>
      <c r="C35" s="33"/>
      <c r="D35" s="65" t="s">
        <v>36</v>
      </c>
      <c r="E35" s="33"/>
      <c r="F35" s="33"/>
      <c r="G35" s="45">
        <f>LOOKUP(0,0/((E35=得分表!AM:AM)*(F35=得分表!AN:AN)),得分表!AO:AO)</f>
        <v>0</v>
      </c>
      <c r="H35" s="46">
        <f>IF(SUM(G35:G61)&lt;10,SUM(G35:G61),10)</f>
        <v>2.5</v>
      </c>
      <c r="I35" s="36"/>
      <c r="J35" s="30" t="s">
        <v>52</v>
      </c>
    </row>
    <row r="36" spans="1:10">
      <c r="A36" s="31"/>
      <c r="B36" s="66"/>
      <c r="C36" s="33"/>
      <c r="D36" s="67"/>
      <c r="E36" s="33"/>
      <c r="F36" s="33"/>
      <c r="G36" s="45">
        <f>LOOKUP(0,0/((E36=得分表!AM:AM)*(F36=得分表!AN:AN)),得分表!AO:AO)</f>
        <v>0</v>
      </c>
      <c r="H36" s="46"/>
      <c r="I36" s="36"/>
      <c r="J36" s="30"/>
    </row>
    <row r="37" spans="1:10">
      <c r="A37" s="31"/>
      <c r="B37" s="32"/>
      <c r="C37" s="33"/>
      <c r="D37" s="67"/>
      <c r="E37" s="33"/>
      <c r="F37" s="33"/>
      <c r="G37" s="45">
        <f>LOOKUP(0,0/((E37=得分表!AM:AM)*(F37=得分表!AN:AN)),得分表!AO:AO)</f>
        <v>0</v>
      </c>
      <c r="H37" s="35"/>
      <c r="I37" s="36"/>
      <c r="J37" s="30"/>
    </row>
    <row r="38" spans="1:10">
      <c r="A38" s="31"/>
      <c r="B38" s="32"/>
      <c r="C38" s="33"/>
      <c r="D38" s="68"/>
      <c r="E38" s="33"/>
      <c r="F38" s="33"/>
      <c r="G38" s="45">
        <f>LOOKUP(0,0/((E38=得分表!AM:AM)*(F38=得分表!AN:AN)),得分表!AO:AO)</f>
        <v>0</v>
      </c>
      <c r="H38" s="35"/>
      <c r="I38" s="36"/>
      <c r="J38" s="30"/>
    </row>
    <row r="39" spans="1:10">
      <c r="A39" s="31"/>
      <c r="B39" s="32"/>
      <c r="C39" s="69" t="s">
        <v>53</v>
      </c>
      <c r="D39" s="65" t="s">
        <v>41</v>
      </c>
      <c r="E39" s="33" t="s">
        <v>23</v>
      </c>
      <c r="F39" s="33" t="s">
        <v>54</v>
      </c>
      <c r="G39" s="45">
        <f>LOOKUP(0,0/((E39=得分表!AM:AM)*(F39=得分表!AN:AN)),得分表!AO:AO)</f>
        <v>2.5</v>
      </c>
      <c r="H39" s="35"/>
      <c r="I39" s="36"/>
      <c r="J39" s="30" t="s">
        <v>55</v>
      </c>
    </row>
    <row r="40" spans="1:10">
      <c r="A40" s="31"/>
      <c r="B40" s="32"/>
      <c r="C40" s="33"/>
      <c r="D40" s="67"/>
      <c r="E40" s="33"/>
      <c r="F40" s="33"/>
      <c r="G40" s="45">
        <f>LOOKUP(0,0/((E40=得分表!AM:AM)*(F40=得分表!AN:AN)),得分表!AO:AO)</f>
        <v>0</v>
      </c>
      <c r="H40" s="35"/>
      <c r="I40" s="36"/>
      <c r="J40" s="30"/>
    </row>
    <row r="41" spans="1:10">
      <c r="A41" s="31"/>
      <c r="B41" s="32"/>
      <c r="C41" s="33"/>
      <c r="D41" s="67"/>
      <c r="E41" s="33"/>
      <c r="F41" s="33"/>
      <c r="G41" s="45">
        <f>LOOKUP(0,0/((E41=得分表!AM:AM)*(F41=得分表!AN:AN)),得分表!AO:AO)</f>
        <v>0</v>
      </c>
      <c r="H41" s="35"/>
      <c r="I41" s="36"/>
      <c r="J41" s="30"/>
    </row>
    <row r="42" spans="1:10">
      <c r="A42" s="31"/>
      <c r="B42" s="32"/>
      <c r="C42" s="33"/>
      <c r="D42" s="68"/>
      <c r="E42" s="33"/>
      <c r="F42" s="33"/>
      <c r="G42" s="45">
        <f>LOOKUP(0,0/((E42=得分表!AM:AM)*(F42=得分表!AN:AN)),得分表!AO:AO)</f>
        <v>0</v>
      </c>
      <c r="H42" s="35"/>
      <c r="I42" s="36"/>
      <c r="J42" s="30"/>
    </row>
    <row r="43" spans="1:10">
      <c r="A43" s="31"/>
      <c r="B43" s="32"/>
      <c r="C43" s="33"/>
      <c r="D43" s="65" t="s">
        <v>44</v>
      </c>
      <c r="E43" s="33"/>
      <c r="F43" s="33"/>
      <c r="G43" s="45">
        <f>LOOKUP(0,0/((E43=得分表!AM:AM)*(F43=得分表!AN:AN)),得分表!AO:AO)</f>
        <v>0</v>
      </c>
      <c r="H43" s="35"/>
      <c r="I43" s="36"/>
      <c r="J43" s="70"/>
    </row>
    <row r="44" spans="1:10">
      <c r="A44" s="31"/>
      <c r="B44" s="32"/>
      <c r="C44" s="33"/>
      <c r="D44" s="67"/>
      <c r="E44" s="33"/>
      <c r="F44" s="33"/>
      <c r="G44" s="45">
        <f>LOOKUP(0,0/((E44=得分表!AM:AM)*(F44=得分表!AN:AN)),得分表!AO:AO)</f>
        <v>0</v>
      </c>
      <c r="H44" s="35"/>
      <c r="I44" s="36"/>
      <c r="J44" s="70"/>
    </row>
    <row r="45" spans="1:10">
      <c r="A45" s="31"/>
      <c r="B45" s="32"/>
      <c r="C45" s="33"/>
      <c r="D45" s="67"/>
      <c r="E45" s="33"/>
      <c r="F45" s="33"/>
      <c r="G45" s="45">
        <f>LOOKUP(0,0/((E45=得分表!AM:AM)*(F45=得分表!AN:AN)),得分表!AO:AO)</f>
        <v>0</v>
      </c>
      <c r="H45" s="35"/>
      <c r="I45" s="36"/>
      <c r="J45" s="70"/>
    </row>
    <row r="46" spans="1:10">
      <c r="A46" s="31"/>
      <c r="B46" s="32"/>
      <c r="C46" s="33"/>
      <c r="D46" s="68"/>
      <c r="E46" s="33"/>
      <c r="F46" s="33"/>
      <c r="G46" s="45">
        <f>LOOKUP(0,0/((E46=得分表!AM:AM)*(F46=得分表!AN:AN)),得分表!AO:AO)</f>
        <v>0</v>
      </c>
      <c r="H46" s="35"/>
      <c r="I46" s="36"/>
      <c r="J46" s="70"/>
    </row>
    <row r="47" spans="1:10">
      <c r="A47" s="31"/>
      <c r="B47" s="32"/>
      <c r="C47" s="33"/>
      <c r="D47" s="65" t="s">
        <v>47</v>
      </c>
      <c r="E47" s="33"/>
      <c r="F47" s="33"/>
      <c r="G47" s="45">
        <f>LOOKUP(0,0/((E47=得分表!AM:AM)*(F47=得分表!AN:AN)),得分表!AO:AO)</f>
        <v>0</v>
      </c>
      <c r="H47" s="35"/>
      <c r="I47" s="36"/>
      <c r="J47" s="70"/>
    </row>
    <row r="48" spans="1:10">
      <c r="A48" s="31"/>
      <c r="B48" s="32"/>
      <c r="C48" s="33"/>
      <c r="D48" s="67"/>
      <c r="E48" s="33"/>
      <c r="F48" s="33"/>
      <c r="G48" s="45">
        <f>LOOKUP(0,0/((E48=得分表!AM:AM)*(F48=得分表!AN:AN)),得分表!AO:AO)</f>
        <v>0</v>
      </c>
      <c r="H48" s="35"/>
      <c r="I48" s="36"/>
      <c r="J48" s="70"/>
    </row>
    <row r="49" spans="1:10">
      <c r="A49" s="31"/>
      <c r="B49" s="32"/>
      <c r="C49" s="33"/>
      <c r="D49" s="67"/>
      <c r="E49" s="33"/>
      <c r="F49" s="33"/>
      <c r="G49" s="45">
        <f>LOOKUP(0,0/((E49=得分表!AM:AM)*(F49=得分表!AN:AN)),得分表!AO:AO)</f>
        <v>0</v>
      </c>
      <c r="H49" s="35"/>
      <c r="I49" s="36"/>
      <c r="J49" s="70"/>
    </row>
    <row r="50" spans="1:10">
      <c r="A50" s="31"/>
      <c r="B50" s="32"/>
      <c r="C50" s="33"/>
      <c r="D50" s="68"/>
      <c r="E50" s="33"/>
      <c r="F50" s="33"/>
      <c r="G50" s="45">
        <f>LOOKUP(0,0/((E50=得分表!AM:AM)*(F50=得分表!AN:AN)),得分表!AO:AO)</f>
        <v>0</v>
      </c>
      <c r="H50" s="35"/>
      <c r="I50" s="36"/>
      <c r="J50" s="70"/>
    </row>
    <row r="51" spans="1:10">
      <c r="A51" s="31"/>
      <c r="B51" s="32"/>
      <c r="C51" s="33"/>
      <c r="D51" s="65" t="s">
        <v>50</v>
      </c>
      <c r="E51" s="33"/>
      <c r="F51" s="33"/>
      <c r="G51" s="45">
        <f>LOOKUP(0,0/((E51=得分表!AM:AM)*(F51=得分表!AN:AN)),得分表!AO:AO)</f>
        <v>0</v>
      </c>
      <c r="H51" s="35"/>
      <c r="I51" s="36"/>
      <c r="J51" s="70"/>
    </row>
    <row r="52" spans="1:10">
      <c r="A52" s="31"/>
      <c r="B52" s="32"/>
      <c r="C52" s="33"/>
      <c r="D52" s="67"/>
      <c r="E52" s="33"/>
      <c r="F52" s="33"/>
      <c r="G52" s="45">
        <f>LOOKUP(0,0/((E52=得分表!AM:AM)*(F52=得分表!AN:AN)),得分表!AO:AO)</f>
        <v>0</v>
      </c>
      <c r="H52" s="35"/>
      <c r="I52" s="36"/>
      <c r="J52" s="70"/>
    </row>
    <row r="53" spans="1:10">
      <c r="A53" s="31"/>
      <c r="B53" s="32"/>
      <c r="C53" s="33"/>
      <c r="D53" s="67"/>
      <c r="E53" s="33"/>
      <c r="F53" s="33"/>
      <c r="G53" s="45">
        <f>LOOKUP(0,0/((E53=得分表!AM:AM)*(F53=得分表!AN:AN)),得分表!AO:AO)</f>
        <v>0</v>
      </c>
      <c r="H53" s="35"/>
      <c r="I53" s="36"/>
      <c r="J53" s="70"/>
    </row>
    <row r="54" spans="1:10">
      <c r="A54" s="31"/>
      <c r="B54" s="32"/>
      <c r="C54" s="33"/>
      <c r="D54" s="68"/>
      <c r="E54" s="33"/>
      <c r="F54" s="33"/>
      <c r="G54" s="45">
        <f>LOOKUP(0,0/((E54=得分表!AM:AM)*(F54=得分表!AN:AN)),得分表!AO:AO)</f>
        <v>0</v>
      </c>
      <c r="H54" s="35"/>
      <c r="I54" s="36"/>
      <c r="J54" s="70"/>
    </row>
    <row r="55" spans="1:10">
      <c r="A55" s="31"/>
      <c r="B55" s="32"/>
      <c r="C55" s="33"/>
      <c r="D55" s="62" t="s">
        <v>56</v>
      </c>
      <c r="E55" s="33"/>
      <c r="F55" s="33"/>
      <c r="G55" s="45">
        <f>LOOKUP(0,0/((E55=得分表!AM:AM)*(F55=得分表!AN:AN)),得分表!AO:AO)</f>
        <v>0</v>
      </c>
      <c r="H55" s="35"/>
      <c r="I55" s="36"/>
      <c r="J55" s="70"/>
    </row>
    <row r="56" spans="1:10">
      <c r="A56" s="31"/>
      <c r="B56" s="32"/>
      <c r="C56" s="33"/>
      <c r="D56" s="65" t="s">
        <v>57</v>
      </c>
      <c r="E56" s="33"/>
      <c r="F56" s="33"/>
      <c r="G56" s="45">
        <f>LOOKUP(0,0/((E56=得分表!AM:AM)*(F56=得分表!AN:AN)),得分表!AO:AO)</f>
        <v>0</v>
      </c>
      <c r="H56" s="35"/>
      <c r="I56" s="36"/>
      <c r="J56" s="70"/>
    </row>
    <row r="57" spans="1:10">
      <c r="A57" s="31"/>
      <c r="B57" s="32"/>
      <c r="C57" s="33"/>
      <c r="D57" s="67"/>
      <c r="E57" s="33"/>
      <c r="F57" s="33"/>
      <c r="G57" s="45">
        <f>LOOKUP(0,0/((E57=得分表!AM:AM)*(F57=得分表!AN:AN)),得分表!AO:AO)</f>
        <v>0</v>
      </c>
      <c r="H57" s="35"/>
      <c r="I57" s="36"/>
      <c r="J57" s="70"/>
    </row>
    <row r="58" spans="1:10">
      <c r="A58" s="31"/>
      <c r="B58" s="32"/>
      <c r="C58" s="33"/>
      <c r="D58" s="68"/>
      <c r="E58" s="33"/>
      <c r="F58" s="33"/>
      <c r="G58" s="45">
        <f>LOOKUP(0,0/((E58=得分表!AM:AM)*(F58=得分表!AN:AN)),得分表!AO:AO)</f>
        <v>0</v>
      </c>
      <c r="H58" s="35"/>
      <c r="I58" s="36"/>
      <c r="J58" s="71"/>
    </row>
    <row r="59" spans="1:10">
      <c r="A59" s="31"/>
      <c r="B59" s="32"/>
      <c r="C59" s="33"/>
      <c r="D59" s="33"/>
      <c r="E59" s="33"/>
      <c r="F59" s="33"/>
      <c r="G59" s="34"/>
      <c r="H59" s="35"/>
      <c r="I59" s="36"/>
      <c r="J59" s="72" t="s">
        <v>58</v>
      </c>
    </row>
    <row r="60" spans="1:10">
      <c r="A60" s="31"/>
      <c r="B60" s="32"/>
      <c r="C60" s="33"/>
      <c r="D60" s="33"/>
      <c r="E60" s="33"/>
      <c r="F60" s="33"/>
      <c r="G60" s="34"/>
      <c r="H60" s="35"/>
      <c r="I60" s="36"/>
      <c r="J60" s="72"/>
    </row>
    <row r="61" ht="14.75" spans="1:10">
      <c r="A61" s="48"/>
      <c r="B61" s="37"/>
      <c r="C61" s="39"/>
      <c r="D61" s="39"/>
      <c r="E61" s="39"/>
      <c r="F61" s="39"/>
      <c r="G61" s="40"/>
      <c r="H61" s="41"/>
      <c r="I61" s="49"/>
      <c r="J61" s="72"/>
    </row>
    <row r="62" ht="25" customHeight="1" spans="1:10">
      <c r="A62" s="73" t="s">
        <v>59</v>
      </c>
      <c r="B62" s="74"/>
      <c r="C62" s="75"/>
      <c r="D62" s="75"/>
      <c r="E62" s="75"/>
      <c r="F62" s="75"/>
      <c r="G62" s="74"/>
      <c r="H62" s="74"/>
      <c r="I62" s="76">
        <f>SUM(I4:I61)</f>
        <v>27.5</v>
      </c>
      <c r="J62" s="30" t="s">
        <v>60</v>
      </c>
    </row>
    <row r="63" spans="1:10">
      <c r="A63" s="5"/>
      <c r="B63" s="5"/>
      <c r="J63" s="18"/>
    </row>
  </sheetData>
  <sheetProtection algorithmName="SHA-512" hashValue="s9Ar4dRVrl8dqe111ol9rEFP/3GYin3t9Fl2usL0phplIbcK4o9MeRt7lIO2JSgHymCob76KLrFbvU1Ntu9pdA==" saltValue="eXterdlKeCzqAw+snAGFKg==" spinCount="100000" sheet="1" insertRows="0" objects="1"/>
  <mergeCells count="37">
    <mergeCell ref="A1:I1"/>
    <mergeCell ref="A62:H62"/>
    <mergeCell ref="A4:A16"/>
    <mergeCell ref="A17:A29"/>
    <mergeCell ref="A30:A61"/>
    <mergeCell ref="B4:B6"/>
    <mergeCell ref="B7:B16"/>
    <mergeCell ref="B17:B19"/>
    <mergeCell ref="B20:B29"/>
    <mergeCell ref="B30:B34"/>
    <mergeCell ref="B35:B61"/>
    <mergeCell ref="D35:D38"/>
    <mergeCell ref="D39:D42"/>
    <mergeCell ref="D43:D46"/>
    <mergeCell ref="D47:D50"/>
    <mergeCell ref="D51:D54"/>
    <mergeCell ref="D56:D58"/>
    <mergeCell ref="H4:H6"/>
    <mergeCell ref="H7:H16"/>
    <mergeCell ref="H17:H19"/>
    <mergeCell ref="H20:H29"/>
    <mergeCell ref="H30:H34"/>
    <mergeCell ref="H35:H61"/>
    <mergeCell ref="I4:I16"/>
    <mergeCell ref="I17:I29"/>
    <mergeCell ref="I30:I61"/>
    <mergeCell ref="J4:J6"/>
    <mergeCell ref="J7:J16"/>
    <mergeCell ref="J17:J19"/>
    <mergeCell ref="J20:J29"/>
    <mergeCell ref="J30:J34"/>
    <mergeCell ref="J35:J38"/>
    <mergeCell ref="J39:J42"/>
    <mergeCell ref="J43:J46"/>
    <mergeCell ref="J47:J50"/>
    <mergeCell ref="J51:J54"/>
    <mergeCell ref="J59:J61"/>
  </mergeCells>
  <dataValidations count="24">
    <dataValidation type="list" allowBlank="1" showInputMessage="1" showErrorMessage="1" sqref="F30">
      <formula1>得分表!$AG$2:$AG$4</formula1>
    </dataValidation>
    <dataValidation type="list" allowBlank="1" showInputMessage="1" showErrorMessage="1" sqref="F31">
      <formula1>得分表!$AG$5:$AG$7</formula1>
    </dataValidation>
    <dataValidation type="list" allowBlank="1" showInputMessage="1" showErrorMessage="1" sqref="F32">
      <formula1>得分表!$AG$8:$AG$23</formula1>
    </dataValidation>
    <dataValidation type="list" allowBlank="1" showInputMessage="1" showErrorMessage="1" sqref="F33">
      <formula1>得分表!$AG$24:$AG$27</formula1>
    </dataValidation>
    <dataValidation type="list" allowBlank="1" showInputMessage="1" showErrorMessage="1" sqref="F34">
      <formula1>得分表!$AG$28:$AG$32</formula1>
    </dataValidation>
    <dataValidation type="list" allowBlank="1" showInputMessage="1" showErrorMessage="1" sqref="E55:F55">
      <formula1>"/"</formula1>
    </dataValidation>
    <dataValidation type="list" allowBlank="1" showInputMessage="1" showErrorMessage="1" sqref="D4:D6">
      <formula1>"个人项目,集体项目"</formula1>
    </dataValidation>
    <dataValidation type="list" allowBlank="1" showInputMessage="1" showErrorMessage="1" sqref="D7:D16">
      <formula1>"个人项目,集体项目,趣味类比赛"</formula1>
    </dataValidation>
    <dataValidation type="list" allowBlank="1" showInputMessage="1" showErrorMessage="1" sqref="D17:D19">
      <formula1>"个人项目,集体项目,作者"</formula1>
    </dataValidation>
    <dataValidation type="list" allowBlank="1" showInputMessage="1" showErrorMessage="1" sqref="D20:D29">
      <formula1>"个人项目,集体项目,校合唱节,山大日记"</formula1>
    </dataValidation>
    <dataValidation type="list" allowBlank="1" showInputMessage="1" showErrorMessage="1" sqref="E4:E29 E39:E50">
      <formula1>"院级,校级,地市级,省部级,国家级"</formula1>
    </dataValidation>
    <dataValidation type="list" allowBlank="1" showInputMessage="1" showErrorMessage="1" sqref="E35:E38">
      <formula1>"考核,院级,校级,地市级,省部级,国家级"</formula1>
    </dataValidation>
    <dataValidation type="list" allowBlank="1" showInputMessage="1" showErrorMessage="1" sqref="E51:E54">
      <formula1>"星级宿舍（舍长）,星级宿舍（舍员）,校级宿舍文化节（个人/主要负责人）,校级宿舍文化节（其他成员）,院级宿舍文化节（个人/主要负责人）,院级宿舍文化节（其他成员）"</formula1>
    </dataValidation>
    <dataValidation type="list" allowBlank="1" showInputMessage="1" showErrorMessage="1" sqref="E56:E58">
      <formula1>"校级,院级"</formula1>
    </dataValidation>
    <dataValidation type="list" allowBlank="1" showInputMessage="1" showErrorMessage="1" sqref="F4:F6">
      <formula1>"参与"</formula1>
    </dataValidation>
    <dataValidation type="list" allowBlank="1" showInputMessage="1" showErrorMessage="1" sqref="F7:F16">
      <formula1>"破纪录,一等,二等,三等,其他等次"</formula1>
    </dataValidation>
    <dataValidation type="list" allowBlank="1" showInputMessage="1" showErrorMessage="1" sqref="F17:F19">
      <formula1>"参与,发表"</formula1>
    </dataValidation>
    <dataValidation type="list" allowBlank="1" showInputMessage="1" showErrorMessage="1" sqref="F20:F29">
      <formula1>"特等,一等,二等,三等,其他等次,主要演员,头条,非头条"</formula1>
    </dataValidation>
    <dataValidation type="list" allowBlank="1" showInputMessage="1" showErrorMessage="1" sqref="F35:F38">
      <formula1>"合格/优秀（一年）,合格/优秀（半年）,个人荣誉/集体荣誉主要负责人,集体荣誉（其他学生干部）"</formula1>
    </dataValidation>
    <dataValidation type="list" allowBlank="1" showInputMessage="1" showErrorMessage="1" sqref="F39:F46">
      <formula1>"个人荣誉称号/团队负责人,团队其他成员,一等-队长,一等-其他成员,二等-队长,二等-其他成员,三等-队长,三等-其他成员,其他等次-队长,其他等次-其他成员"</formula1>
    </dataValidation>
    <dataValidation type="list" allowBlank="1" showInputMessage="1" showErrorMessage="1" sqref="F47:F50">
      <formula1>"个人一等,个人二等,个人三等"</formula1>
    </dataValidation>
    <dataValidation type="list" allowBlank="1" showInputMessage="1" showErrorMessage="1" sqref="F51:F54">
      <formula1>"五星级宿舍,四星级宿舍,三星级宿舍,一等,二等,三等及其他,未获评"</formula1>
    </dataValidation>
    <dataValidation type="list" allowBlank="1" showInputMessage="1" showErrorMessage="1" sqref="F56:F58">
      <formula1>"负责人,其他人员"</formula1>
    </dataValidation>
    <dataValidation allowBlank="1" showInputMessage="1" showErrorMessage="1" sqref="D30:E34 E59:F61"/>
  </dataValidations>
  <printOptions horizontalCentered="1" verticalCentered="1"/>
  <pageMargins left="0.251388888888889" right="0.251388888888889" top="0.554861111111111" bottom="0.554861111111111" header="0.298611111111111" footer="0.298611111111111"/>
  <pageSetup paperSize="9" scale="77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12"/>
  <sheetViews>
    <sheetView topLeftCell="AB1" workbookViewId="0">
      <selection activeCell="AH6" sqref="AH6"/>
    </sheetView>
  </sheetViews>
  <sheetFormatPr defaultColWidth="9" defaultRowHeight="14"/>
  <cols>
    <col min="1" max="1" width="9.45454545454546" customWidth="1"/>
    <col min="2" max="2" width="11.9090909090909" customWidth="1"/>
    <col min="7" max="7" width="5.09090909090909" style="1" customWidth="1"/>
    <col min="8" max="8" width="9.45454545454546" customWidth="1"/>
    <col min="9" max="9" width="11.9090909090909" customWidth="1"/>
    <col min="10" max="10" width="10.9090909090909" customWidth="1"/>
    <col min="14" max="14" width="5.09090909090909" style="1" customWidth="1"/>
    <col min="15" max="15" width="9.45454545454546" customWidth="1"/>
    <col min="16" max="16" width="11.9090909090909" customWidth="1"/>
    <col min="21" max="21" width="5.09090909090909" style="1" customWidth="1"/>
    <col min="22" max="22" width="9.45454545454546" customWidth="1"/>
    <col min="23" max="23" width="11.9090909090909" customWidth="1"/>
    <col min="26" max="26" width="14" customWidth="1"/>
    <col min="28" max="28" width="5.09090909090909" style="1" customWidth="1"/>
    <col min="29" max="29" width="9.45454545454546" customWidth="1"/>
    <col min="30" max="30" width="11.9090909090909" customWidth="1"/>
    <col min="31" max="31" width="12.9090909090909" customWidth="1"/>
    <col min="33" max="33" width="25" customWidth="1"/>
    <col min="35" max="35" width="5.09090909090909" style="1" customWidth="1"/>
    <col min="37" max="37" width="11.9090909090909" customWidth="1"/>
    <col min="38" max="38" width="12.9090909090909" customWidth="1"/>
    <col min="39" max="39" width="24.6363636363636" customWidth="1"/>
    <col min="40" max="40" width="18.8181818181818" customWidth="1"/>
    <col min="42" max="42" width="5.09090909090909" style="1" customWidth="1"/>
    <col min="46" max="46" width="14.5454545454545" customWidth="1"/>
    <col min="48" max="48" width="9" style="2"/>
  </cols>
  <sheetData>
    <row r="1" spans="1:41">
      <c r="A1" t="s">
        <v>9</v>
      </c>
      <c r="B1" t="s">
        <v>10</v>
      </c>
      <c r="C1" t="s">
        <v>61</v>
      </c>
      <c r="D1" t="s">
        <v>62</v>
      </c>
      <c r="E1" t="s">
        <v>63</v>
      </c>
      <c r="F1" t="s">
        <v>64</v>
      </c>
      <c r="H1" t="s">
        <v>9</v>
      </c>
      <c r="I1" t="s">
        <v>10</v>
      </c>
      <c r="J1" t="s">
        <v>61</v>
      </c>
      <c r="K1" t="s">
        <v>62</v>
      </c>
      <c r="L1" t="s">
        <v>63</v>
      </c>
      <c r="M1" t="s">
        <v>64</v>
      </c>
      <c r="O1" t="s">
        <v>9</v>
      </c>
      <c r="P1" t="s">
        <v>10</v>
      </c>
      <c r="Q1" t="s">
        <v>61</v>
      </c>
      <c r="R1" t="s">
        <v>62</v>
      </c>
      <c r="S1" t="s">
        <v>63</v>
      </c>
      <c r="T1" t="s">
        <v>64</v>
      </c>
      <c r="V1" t="s">
        <v>9</v>
      </c>
      <c r="W1" t="s">
        <v>10</v>
      </c>
      <c r="X1" t="s">
        <v>61</v>
      </c>
      <c r="Y1" t="s">
        <v>62</v>
      </c>
      <c r="Z1" t="s">
        <v>63</v>
      </c>
      <c r="AA1" t="s">
        <v>64</v>
      </c>
      <c r="AC1" t="s">
        <v>9</v>
      </c>
      <c r="AD1" t="s">
        <v>10</v>
      </c>
      <c r="AE1" t="s">
        <v>61</v>
      </c>
      <c r="AF1" t="s">
        <v>62</v>
      </c>
      <c r="AG1" t="s">
        <v>63</v>
      </c>
      <c r="AH1" t="s">
        <v>64</v>
      </c>
      <c r="AJ1" t="s">
        <v>9</v>
      </c>
      <c r="AK1" t="s">
        <v>10</v>
      </c>
      <c r="AL1" t="s">
        <v>61</v>
      </c>
      <c r="AM1" t="s">
        <v>62</v>
      </c>
      <c r="AN1" t="s">
        <v>63</v>
      </c>
      <c r="AO1" t="s">
        <v>64</v>
      </c>
    </row>
    <row r="2" spans="1:41">
      <c r="A2" t="s">
        <v>65</v>
      </c>
      <c r="B2" t="s">
        <v>66</v>
      </c>
      <c r="C2" t="s">
        <v>22</v>
      </c>
      <c r="D2" t="s">
        <v>33</v>
      </c>
      <c r="E2" t="s">
        <v>24</v>
      </c>
      <c r="F2">
        <v>3</v>
      </c>
      <c r="H2" t="s">
        <v>65</v>
      </c>
      <c r="I2" t="s">
        <v>67</v>
      </c>
      <c r="J2" t="s">
        <v>22</v>
      </c>
      <c r="K2" t="s">
        <v>68</v>
      </c>
      <c r="L2" t="s">
        <v>69</v>
      </c>
      <c r="M2">
        <v>6</v>
      </c>
      <c r="O2" t="s">
        <v>70</v>
      </c>
      <c r="P2" t="s">
        <v>66</v>
      </c>
      <c r="Q2" t="s">
        <v>22</v>
      </c>
      <c r="R2" t="s">
        <v>33</v>
      </c>
      <c r="S2" t="s">
        <v>24</v>
      </c>
      <c r="T2">
        <v>3</v>
      </c>
      <c r="V2" t="s">
        <v>70</v>
      </c>
      <c r="W2" t="s">
        <v>67</v>
      </c>
      <c r="X2" t="s">
        <v>22</v>
      </c>
      <c r="Y2" t="s">
        <v>68</v>
      </c>
      <c r="Z2" t="s">
        <v>69</v>
      </c>
      <c r="AA2">
        <v>6</v>
      </c>
      <c r="AC2" t="s">
        <v>71</v>
      </c>
      <c r="AD2" t="s">
        <v>66</v>
      </c>
      <c r="AE2" t="s">
        <v>36</v>
      </c>
      <c r="AF2" t="s">
        <v>37</v>
      </c>
      <c r="AG2" t="s">
        <v>72</v>
      </c>
      <c r="AH2">
        <v>4</v>
      </c>
      <c r="AJ2" t="s">
        <v>71</v>
      </c>
      <c r="AK2" t="s">
        <v>67</v>
      </c>
      <c r="AL2" t="s">
        <v>36</v>
      </c>
      <c r="AM2" t="s">
        <v>73</v>
      </c>
      <c r="AN2" t="s">
        <v>74</v>
      </c>
      <c r="AO2">
        <v>4</v>
      </c>
    </row>
    <row r="3" spans="1:41">
      <c r="A3" t="s">
        <v>65</v>
      </c>
      <c r="B3" t="s">
        <v>66</v>
      </c>
      <c r="C3" t="s">
        <v>22</v>
      </c>
      <c r="D3" t="s">
        <v>23</v>
      </c>
      <c r="E3" t="s">
        <v>24</v>
      </c>
      <c r="F3">
        <v>6</v>
      </c>
      <c r="H3" t="s">
        <v>65</v>
      </c>
      <c r="I3" t="s">
        <v>67</v>
      </c>
      <c r="J3" t="s">
        <v>22</v>
      </c>
      <c r="K3" t="s">
        <v>68</v>
      </c>
      <c r="L3" t="s">
        <v>75</v>
      </c>
      <c r="M3">
        <v>5.25</v>
      </c>
      <c r="O3" t="s">
        <v>70</v>
      </c>
      <c r="P3" t="s">
        <v>66</v>
      </c>
      <c r="Q3" t="s">
        <v>22</v>
      </c>
      <c r="R3" t="s">
        <v>23</v>
      </c>
      <c r="S3" t="s">
        <v>24</v>
      </c>
      <c r="T3">
        <v>6</v>
      </c>
      <c r="V3" t="s">
        <v>70</v>
      </c>
      <c r="W3" t="s">
        <v>67</v>
      </c>
      <c r="X3" t="s">
        <v>22</v>
      </c>
      <c r="Y3" t="s">
        <v>68</v>
      </c>
      <c r="Z3" t="s">
        <v>75</v>
      </c>
      <c r="AA3">
        <v>5.25</v>
      </c>
      <c r="AC3" t="s">
        <v>71</v>
      </c>
      <c r="AD3" t="s">
        <v>66</v>
      </c>
      <c r="AE3" t="s">
        <v>36</v>
      </c>
      <c r="AF3" t="s">
        <v>37</v>
      </c>
      <c r="AG3" t="s">
        <v>76</v>
      </c>
      <c r="AH3">
        <v>2</v>
      </c>
      <c r="AJ3" t="s">
        <v>71</v>
      </c>
      <c r="AK3" t="s">
        <v>67</v>
      </c>
      <c r="AL3" t="s">
        <v>36</v>
      </c>
      <c r="AM3" t="s">
        <v>73</v>
      </c>
      <c r="AN3" t="s">
        <v>77</v>
      </c>
      <c r="AO3">
        <v>2</v>
      </c>
    </row>
    <row r="4" spans="1:41">
      <c r="A4" t="s">
        <v>65</v>
      </c>
      <c r="B4" t="s">
        <v>66</v>
      </c>
      <c r="C4" t="s">
        <v>22</v>
      </c>
      <c r="D4" t="s">
        <v>78</v>
      </c>
      <c r="E4" t="s">
        <v>24</v>
      </c>
      <c r="F4">
        <v>6</v>
      </c>
      <c r="H4" t="s">
        <v>65</v>
      </c>
      <c r="I4" t="s">
        <v>67</v>
      </c>
      <c r="J4" t="s">
        <v>22</v>
      </c>
      <c r="K4" t="s">
        <v>68</v>
      </c>
      <c r="L4" t="s">
        <v>79</v>
      </c>
      <c r="M4">
        <v>4.5</v>
      </c>
      <c r="O4" t="s">
        <v>70</v>
      </c>
      <c r="P4" t="s">
        <v>66</v>
      </c>
      <c r="Q4" t="s">
        <v>22</v>
      </c>
      <c r="R4" t="s">
        <v>78</v>
      </c>
      <c r="S4" t="s">
        <v>24</v>
      </c>
      <c r="T4">
        <v>6</v>
      </c>
      <c r="V4" t="s">
        <v>70</v>
      </c>
      <c r="W4" t="s">
        <v>67</v>
      </c>
      <c r="X4" t="s">
        <v>22</v>
      </c>
      <c r="Y4" t="s">
        <v>68</v>
      </c>
      <c r="Z4" t="s">
        <v>79</v>
      </c>
      <c r="AA4">
        <v>3.75</v>
      </c>
      <c r="AC4" t="s">
        <v>71</v>
      </c>
      <c r="AD4" t="s">
        <v>66</v>
      </c>
      <c r="AE4" t="s">
        <v>36</v>
      </c>
      <c r="AF4" t="s">
        <v>37</v>
      </c>
      <c r="AG4" t="s">
        <v>38</v>
      </c>
      <c r="AH4">
        <v>0</v>
      </c>
      <c r="AJ4" t="s">
        <v>71</v>
      </c>
      <c r="AK4" t="s">
        <v>67</v>
      </c>
      <c r="AL4" t="s">
        <v>36</v>
      </c>
      <c r="AM4" t="s">
        <v>33</v>
      </c>
      <c r="AN4" t="s">
        <v>80</v>
      </c>
      <c r="AO4">
        <v>4</v>
      </c>
    </row>
    <row r="5" spans="1:41">
      <c r="A5" t="s">
        <v>65</v>
      </c>
      <c r="B5" t="s">
        <v>66</v>
      </c>
      <c r="C5" t="s">
        <v>22</v>
      </c>
      <c r="D5" t="s">
        <v>81</v>
      </c>
      <c r="E5" t="s">
        <v>24</v>
      </c>
      <c r="F5">
        <v>9</v>
      </c>
      <c r="H5" t="s">
        <v>65</v>
      </c>
      <c r="I5" t="s">
        <v>67</v>
      </c>
      <c r="J5" t="s">
        <v>22</v>
      </c>
      <c r="K5" t="s">
        <v>68</v>
      </c>
      <c r="L5" t="s">
        <v>82</v>
      </c>
      <c r="M5">
        <v>3.75</v>
      </c>
      <c r="O5" t="s">
        <v>70</v>
      </c>
      <c r="P5" t="s">
        <v>66</v>
      </c>
      <c r="Q5" t="s">
        <v>22</v>
      </c>
      <c r="R5" t="s">
        <v>81</v>
      </c>
      <c r="S5" t="s">
        <v>24</v>
      </c>
      <c r="T5">
        <v>9</v>
      </c>
      <c r="V5" t="s">
        <v>70</v>
      </c>
      <c r="W5" t="s">
        <v>67</v>
      </c>
      <c r="X5" t="s">
        <v>22</v>
      </c>
      <c r="Y5" t="s">
        <v>68</v>
      </c>
      <c r="Z5" t="s">
        <v>82</v>
      </c>
      <c r="AA5">
        <v>3</v>
      </c>
      <c r="AC5" t="s">
        <v>71</v>
      </c>
      <c r="AD5" t="s">
        <v>66</v>
      </c>
      <c r="AE5" t="s">
        <v>41</v>
      </c>
      <c r="AF5" t="s">
        <v>37</v>
      </c>
      <c r="AG5" t="s">
        <v>42</v>
      </c>
      <c r="AH5">
        <v>6</v>
      </c>
      <c r="AJ5" t="s">
        <v>71</v>
      </c>
      <c r="AK5" t="s">
        <v>67</v>
      </c>
      <c r="AL5" t="s">
        <v>36</v>
      </c>
      <c r="AM5" t="s">
        <v>23</v>
      </c>
      <c r="AN5" t="s">
        <v>80</v>
      </c>
      <c r="AO5">
        <v>5.5</v>
      </c>
    </row>
    <row r="6" spans="1:41">
      <c r="A6" t="s">
        <v>65</v>
      </c>
      <c r="B6" t="s">
        <v>66</v>
      </c>
      <c r="C6" t="s">
        <v>22</v>
      </c>
      <c r="D6" t="s">
        <v>68</v>
      </c>
      <c r="E6" t="s">
        <v>24</v>
      </c>
      <c r="F6">
        <v>9</v>
      </c>
      <c r="H6" t="s">
        <v>65</v>
      </c>
      <c r="I6" t="s">
        <v>67</v>
      </c>
      <c r="J6" t="s">
        <v>22</v>
      </c>
      <c r="K6" t="s">
        <v>81</v>
      </c>
      <c r="L6" t="s">
        <v>69</v>
      </c>
      <c r="M6">
        <v>4.5</v>
      </c>
      <c r="O6" t="s">
        <v>70</v>
      </c>
      <c r="P6" t="s">
        <v>66</v>
      </c>
      <c r="Q6" t="s">
        <v>22</v>
      </c>
      <c r="R6" t="s">
        <v>68</v>
      </c>
      <c r="S6" t="s">
        <v>24</v>
      </c>
      <c r="T6">
        <v>9</v>
      </c>
      <c r="V6" t="s">
        <v>70</v>
      </c>
      <c r="W6" t="s">
        <v>67</v>
      </c>
      <c r="X6" t="s">
        <v>22</v>
      </c>
      <c r="Y6" t="s">
        <v>81</v>
      </c>
      <c r="Z6" t="s">
        <v>69</v>
      </c>
      <c r="AA6">
        <v>4.5</v>
      </c>
      <c r="AC6" t="s">
        <v>71</v>
      </c>
      <c r="AD6" t="s">
        <v>66</v>
      </c>
      <c r="AE6" t="s">
        <v>41</v>
      </c>
      <c r="AF6" t="s">
        <v>37</v>
      </c>
      <c r="AG6" t="s">
        <v>83</v>
      </c>
      <c r="AH6">
        <v>9</v>
      </c>
      <c r="AJ6" t="s">
        <v>71</v>
      </c>
      <c r="AK6" t="s">
        <v>67</v>
      </c>
      <c r="AL6" t="s">
        <v>36</v>
      </c>
      <c r="AM6" t="s">
        <v>78</v>
      </c>
      <c r="AN6" t="s">
        <v>80</v>
      </c>
      <c r="AO6">
        <v>7</v>
      </c>
    </row>
    <row r="7" spans="1:41">
      <c r="A7" t="s">
        <v>65</v>
      </c>
      <c r="B7" t="s">
        <v>66</v>
      </c>
      <c r="C7" t="s">
        <v>28</v>
      </c>
      <c r="D7" t="s">
        <v>33</v>
      </c>
      <c r="E7" t="s">
        <v>24</v>
      </c>
      <c r="F7">
        <v>3</v>
      </c>
      <c r="H7" t="s">
        <v>65</v>
      </c>
      <c r="I7" t="s">
        <v>67</v>
      </c>
      <c r="J7" t="s">
        <v>22</v>
      </c>
      <c r="K7" t="s">
        <v>81</v>
      </c>
      <c r="L7" t="s">
        <v>75</v>
      </c>
      <c r="M7">
        <v>3.75</v>
      </c>
      <c r="O7" t="s">
        <v>70</v>
      </c>
      <c r="P7" t="s">
        <v>66</v>
      </c>
      <c r="Q7" t="s">
        <v>28</v>
      </c>
      <c r="R7" t="s">
        <v>33</v>
      </c>
      <c r="S7" t="s">
        <v>24</v>
      </c>
      <c r="T7">
        <v>3</v>
      </c>
      <c r="V7" t="s">
        <v>70</v>
      </c>
      <c r="W7" t="s">
        <v>67</v>
      </c>
      <c r="X7" t="s">
        <v>22</v>
      </c>
      <c r="Y7" t="s">
        <v>81</v>
      </c>
      <c r="Z7" t="s">
        <v>75</v>
      </c>
      <c r="AA7">
        <v>3.75</v>
      </c>
      <c r="AC7" t="s">
        <v>71</v>
      </c>
      <c r="AD7" t="s">
        <v>66</v>
      </c>
      <c r="AE7" t="s">
        <v>41</v>
      </c>
      <c r="AF7" t="s">
        <v>37</v>
      </c>
      <c r="AG7" t="s">
        <v>84</v>
      </c>
      <c r="AH7">
        <v>0</v>
      </c>
      <c r="AJ7" t="s">
        <v>71</v>
      </c>
      <c r="AK7" t="s">
        <v>67</v>
      </c>
      <c r="AL7" t="s">
        <v>36</v>
      </c>
      <c r="AM7" t="s">
        <v>81</v>
      </c>
      <c r="AN7" t="s">
        <v>80</v>
      </c>
      <c r="AO7">
        <v>8.5</v>
      </c>
    </row>
    <row r="8" spans="1:41">
      <c r="A8" t="s">
        <v>65</v>
      </c>
      <c r="B8" t="s">
        <v>66</v>
      </c>
      <c r="C8" t="s">
        <v>28</v>
      </c>
      <c r="D8" t="s">
        <v>23</v>
      </c>
      <c r="E8" t="s">
        <v>24</v>
      </c>
      <c r="F8">
        <v>6</v>
      </c>
      <c r="H8" t="s">
        <v>65</v>
      </c>
      <c r="I8" t="s">
        <v>67</v>
      </c>
      <c r="J8" t="s">
        <v>22</v>
      </c>
      <c r="K8" t="s">
        <v>81</v>
      </c>
      <c r="L8" t="s">
        <v>79</v>
      </c>
      <c r="M8">
        <v>3</v>
      </c>
      <c r="O8" t="s">
        <v>70</v>
      </c>
      <c r="P8" t="s">
        <v>66</v>
      </c>
      <c r="Q8" t="s">
        <v>28</v>
      </c>
      <c r="R8" t="s">
        <v>23</v>
      </c>
      <c r="S8" t="s">
        <v>24</v>
      </c>
      <c r="T8">
        <v>6</v>
      </c>
      <c r="V8" t="s">
        <v>70</v>
      </c>
      <c r="W8" t="s">
        <v>67</v>
      </c>
      <c r="X8" t="s">
        <v>22</v>
      </c>
      <c r="Y8" t="s">
        <v>81</v>
      </c>
      <c r="Z8" t="s">
        <v>79</v>
      </c>
      <c r="AA8">
        <v>2.25</v>
      </c>
      <c r="AC8" t="s">
        <v>71</v>
      </c>
      <c r="AD8" t="s">
        <v>66</v>
      </c>
      <c r="AE8" t="s">
        <v>44</v>
      </c>
      <c r="AF8" t="s">
        <v>37</v>
      </c>
      <c r="AG8" t="s">
        <v>85</v>
      </c>
      <c r="AH8">
        <v>0</v>
      </c>
      <c r="AJ8" t="s">
        <v>71</v>
      </c>
      <c r="AK8" t="s">
        <v>67</v>
      </c>
      <c r="AL8" t="s">
        <v>36</v>
      </c>
      <c r="AM8" t="s">
        <v>68</v>
      </c>
      <c r="AN8" t="s">
        <v>80</v>
      </c>
      <c r="AO8">
        <v>10</v>
      </c>
    </row>
    <row r="9" spans="1:41">
      <c r="A9" t="s">
        <v>65</v>
      </c>
      <c r="B9" t="s">
        <v>66</v>
      </c>
      <c r="C9" t="s">
        <v>28</v>
      </c>
      <c r="D9" t="s">
        <v>78</v>
      </c>
      <c r="E9" t="s">
        <v>24</v>
      </c>
      <c r="F9">
        <v>6</v>
      </c>
      <c r="H9" t="s">
        <v>65</v>
      </c>
      <c r="I9" t="s">
        <v>67</v>
      </c>
      <c r="J9" t="s">
        <v>22</v>
      </c>
      <c r="K9" t="s">
        <v>81</v>
      </c>
      <c r="L9" t="s">
        <v>82</v>
      </c>
      <c r="M9">
        <v>2.25</v>
      </c>
      <c r="O9" t="s">
        <v>70</v>
      </c>
      <c r="P9" t="s">
        <v>66</v>
      </c>
      <c r="Q9" t="s">
        <v>28</v>
      </c>
      <c r="R9" t="s">
        <v>78</v>
      </c>
      <c r="S9" t="s">
        <v>24</v>
      </c>
      <c r="T9">
        <v>6</v>
      </c>
      <c r="V9" t="s">
        <v>70</v>
      </c>
      <c r="W9" t="s">
        <v>67</v>
      </c>
      <c r="X9" t="s">
        <v>22</v>
      </c>
      <c r="Y9" t="s">
        <v>81</v>
      </c>
      <c r="Z9" t="s">
        <v>82</v>
      </c>
      <c r="AA9">
        <v>1.5</v>
      </c>
      <c r="AC9" t="s">
        <v>71</v>
      </c>
      <c r="AD9" t="s">
        <v>66</v>
      </c>
      <c r="AE9" t="s">
        <v>44</v>
      </c>
      <c r="AF9" t="s">
        <v>37</v>
      </c>
      <c r="AG9" t="s">
        <v>45</v>
      </c>
      <c r="AH9">
        <v>1</v>
      </c>
      <c r="AJ9" t="s">
        <v>71</v>
      </c>
      <c r="AK9" t="s">
        <v>67</v>
      </c>
      <c r="AL9" t="s">
        <v>36</v>
      </c>
      <c r="AM9" t="s">
        <v>33</v>
      </c>
      <c r="AN9" t="s">
        <v>86</v>
      </c>
      <c r="AO9">
        <v>2.5</v>
      </c>
    </row>
    <row r="10" spans="1:41">
      <c r="A10" t="s">
        <v>65</v>
      </c>
      <c r="B10" t="s">
        <v>66</v>
      </c>
      <c r="C10" t="s">
        <v>28</v>
      </c>
      <c r="D10" t="s">
        <v>81</v>
      </c>
      <c r="E10" t="s">
        <v>24</v>
      </c>
      <c r="F10">
        <v>9</v>
      </c>
      <c r="H10" t="s">
        <v>65</v>
      </c>
      <c r="I10" t="s">
        <v>67</v>
      </c>
      <c r="J10" t="s">
        <v>22</v>
      </c>
      <c r="K10" t="s">
        <v>23</v>
      </c>
      <c r="L10" t="s">
        <v>69</v>
      </c>
      <c r="M10">
        <v>2.25</v>
      </c>
      <c r="O10" t="s">
        <v>70</v>
      </c>
      <c r="P10" t="s">
        <v>66</v>
      </c>
      <c r="Q10" t="s">
        <v>28</v>
      </c>
      <c r="R10" t="s">
        <v>81</v>
      </c>
      <c r="S10" t="s">
        <v>24</v>
      </c>
      <c r="T10">
        <v>9</v>
      </c>
      <c r="V10" t="s">
        <v>70</v>
      </c>
      <c r="W10" t="s">
        <v>67</v>
      </c>
      <c r="X10" t="s">
        <v>22</v>
      </c>
      <c r="Y10" t="s">
        <v>23</v>
      </c>
      <c r="Z10" t="s">
        <v>69</v>
      </c>
      <c r="AA10">
        <v>3</v>
      </c>
      <c r="AC10" t="s">
        <v>71</v>
      </c>
      <c r="AD10" t="s">
        <v>66</v>
      </c>
      <c r="AE10" t="s">
        <v>44</v>
      </c>
      <c r="AF10" t="s">
        <v>37</v>
      </c>
      <c r="AG10" t="s">
        <v>87</v>
      </c>
      <c r="AH10">
        <v>2</v>
      </c>
      <c r="AJ10" t="s">
        <v>71</v>
      </c>
      <c r="AK10" t="s">
        <v>67</v>
      </c>
      <c r="AL10" t="s">
        <v>36</v>
      </c>
      <c r="AM10" t="s">
        <v>23</v>
      </c>
      <c r="AN10" t="s">
        <v>86</v>
      </c>
      <c r="AO10">
        <v>4</v>
      </c>
    </row>
    <row r="11" spans="1:41">
      <c r="A11" t="s">
        <v>65</v>
      </c>
      <c r="B11" t="s">
        <v>66</v>
      </c>
      <c r="C11" t="s">
        <v>28</v>
      </c>
      <c r="D11" t="s">
        <v>68</v>
      </c>
      <c r="E11" t="s">
        <v>24</v>
      </c>
      <c r="F11">
        <v>9</v>
      </c>
      <c r="H11" t="s">
        <v>65</v>
      </c>
      <c r="I11" t="s">
        <v>67</v>
      </c>
      <c r="J11" t="s">
        <v>22</v>
      </c>
      <c r="K11" t="s">
        <v>23</v>
      </c>
      <c r="L11" t="s">
        <v>75</v>
      </c>
      <c r="M11">
        <v>1.5</v>
      </c>
      <c r="O11" t="s">
        <v>70</v>
      </c>
      <c r="P11" t="s">
        <v>66</v>
      </c>
      <c r="Q11" t="s">
        <v>28</v>
      </c>
      <c r="R11" t="s">
        <v>68</v>
      </c>
      <c r="S11" t="s">
        <v>24</v>
      </c>
      <c r="T11">
        <v>9</v>
      </c>
      <c r="V11" t="s">
        <v>70</v>
      </c>
      <c r="W11" t="s">
        <v>67</v>
      </c>
      <c r="X11" t="s">
        <v>22</v>
      </c>
      <c r="Y11" t="s">
        <v>23</v>
      </c>
      <c r="Z11" t="s">
        <v>75</v>
      </c>
      <c r="AA11">
        <v>2.25</v>
      </c>
      <c r="AC11" t="s">
        <v>71</v>
      </c>
      <c r="AD11" t="s">
        <v>66</v>
      </c>
      <c r="AE11" t="s">
        <v>44</v>
      </c>
      <c r="AF11" t="s">
        <v>37</v>
      </c>
      <c r="AG11" t="s">
        <v>88</v>
      </c>
      <c r="AH11">
        <v>3</v>
      </c>
      <c r="AJ11" t="s">
        <v>71</v>
      </c>
      <c r="AK11" t="s">
        <v>67</v>
      </c>
      <c r="AL11" t="s">
        <v>36</v>
      </c>
      <c r="AM11" t="s">
        <v>78</v>
      </c>
      <c r="AN11" t="s">
        <v>86</v>
      </c>
      <c r="AO11">
        <v>5.5</v>
      </c>
    </row>
    <row r="12" spans="1:41">
      <c r="H12" t="s">
        <v>65</v>
      </c>
      <c r="I12" t="s">
        <v>67</v>
      </c>
      <c r="J12" t="s">
        <v>22</v>
      </c>
      <c r="K12" t="s">
        <v>23</v>
      </c>
      <c r="L12" t="s">
        <v>79</v>
      </c>
      <c r="M12">
        <v>0.75</v>
      </c>
      <c r="O12" t="s">
        <v>70</v>
      </c>
      <c r="P12" t="s">
        <v>66</v>
      </c>
      <c r="Q12" t="s">
        <v>89</v>
      </c>
      <c r="R12" t="s">
        <v>33</v>
      </c>
      <c r="S12" t="s">
        <v>90</v>
      </c>
      <c r="T12">
        <v>3</v>
      </c>
      <c r="V12" t="s">
        <v>70</v>
      </c>
      <c r="W12" t="s">
        <v>67</v>
      </c>
      <c r="X12" t="s">
        <v>22</v>
      </c>
      <c r="Y12" t="s">
        <v>23</v>
      </c>
      <c r="Z12" t="s">
        <v>79</v>
      </c>
      <c r="AA12">
        <v>1.5</v>
      </c>
      <c r="AC12" t="s">
        <v>71</v>
      </c>
      <c r="AD12" t="s">
        <v>66</v>
      </c>
      <c r="AE12" t="s">
        <v>44</v>
      </c>
      <c r="AF12" t="s">
        <v>37</v>
      </c>
      <c r="AG12" t="s">
        <v>91</v>
      </c>
      <c r="AH12">
        <v>4</v>
      </c>
      <c r="AJ12" t="s">
        <v>71</v>
      </c>
      <c r="AK12" t="s">
        <v>67</v>
      </c>
      <c r="AL12" t="s">
        <v>36</v>
      </c>
      <c r="AM12" t="s">
        <v>81</v>
      </c>
      <c r="AN12" t="s">
        <v>86</v>
      </c>
      <c r="AO12">
        <v>7</v>
      </c>
    </row>
    <row r="13" spans="1:41">
      <c r="H13" t="s">
        <v>65</v>
      </c>
      <c r="I13" t="s">
        <v>67</v>
      </c>
      <c r="J13" t="s">
        <v>22</v>
      </c>
      <c r="K13" t="s">
        <v>23</v>
      </c>
      <c r="L13" t="s">
        <v>82</v>
      </c>
      <c r="M13">
        <v>0.375</v>
      </c>
      <c r="O13" t="s">
        <v>70</v>
      </c>
      <c r="P13" t="s">
        <v>66</v>
      </c>
      <c r="Q13" t="s">
        <v>89</v>
      </c>
      <c r="R13" t="s">
        <v>23</v>
      </c>
      <c r="S13" t="s">
        <v>90</v>
      </c>
      <c r="T13">
        <v>6</v>
      </c>
      <c r="V13" t="s">
        <v>70</v>
      </c>
      <c r="W13" t="s">
        <v>67</v>
      </c>
      <c r="X13" t="s">
        <v>22</v>
      </c>
      <c r="Y13" t="s">
        <v>23</v>
      </c>
      <c r="Z13" t="s">
        <v>82</v>
      </c>
      <c r="AA13">
        <v>0.75</v>
      </c>
      <c r="AC13" t="s">
        <v>71</v>
      </c>
      <c r="AD13" t="s">
        <v>66</v>
      </c>
      <c r="AE13" t="s">
        <v>44</v>
      </c>
      <c r="AF13" t="s">
        <v>37</v>
      </c>
      <c r="AG13" t="s">
        <v>92</v>
      </c>
      <c r="AH13">
        <v>5</v>
      </c>
      <c r="AJ13" t="s">
        <v>71</v>
      </c>
      <c r="AK13" t="s">
        <v>67</v>
      </c>
      <c r="AL13" t="s">
        <v>36</v>
      </c>
      <c r="AM13" t="s">
        <v>68</v>
      </c>
      <c r="AN13" t="s">
        <v>86</v>
      </c>
      <c r="AO13">
        <v>8.5</v>
      </c>
    </row>
    <row r="14" spans="1:41">
      <c r="H14" t="s">
        <v>65</v>
      </c>
      <c r="I14" t="s">
        <v>67</v>
      </c>
      <c r="J14" t="s">
        <v>22</v>
      </c>
      <c r="K14" t="s">
        <v>33</v>
      </c>
      <c r="L14" t="s">
        <v>69</v>
      </c>
      <c r="M14">
        <v>0.75</v>
      </c>
      <c r="V14" t="s">
        <v>70</v>
      </c>
      <c r="W14" t="s">
        <v>67</v>
      </c>
      <c r="X14" t="s">
        <v>22</v>
      </c>
      <c r="Y14" t="s">
        <v>33</v>
      </c>
      <c r="Z14" t="s">
        <v>69</v>
      </c>
      <c r="AA14">
        <v>1.5</v>
      </c>
      <c r="AC14" t="s">
        <v>71</v>
      </c>
      <c r="AD14" t="s">
        <v>66</v>
      </c>
      <c r="AE14" t="s">
        <v>44</v>
      </c>
      <c r="AF14" t="s">
        <v>37</v>
      </c>
      <c r="AG14" t="s">
        <v>93</v>
      </c>
      <c r="AH14">
        <v>6</v>
      </c>
    </row>
    <row r="15" spans="1:41">
      <c r="H15" t="s">
        <v>65</v>
      </c>
      <c r="I15" t="s">
        <v>67</v>
      </c>
      <c r="J15" t="s">
        <v>22</v>
      </c>
      <c r="K15" t="s">
        <v>33</v>
      </c>
      <c r="L15" t="s">
        <v>75</v>
      </c>
      <c r="M15">
        <v>0.375</v>
      </c>
      <c r="V15" t="s">
        <v>70</v>
      </c>
      <c r="W15" t="s">
        <v>67</v>
      </c>
      <c r="X15" t="s">
        <v>22</v>
      </c>
      <c r="Y15" t="s">
        <v>33</v>
      </c>
      <c r="Z15" t="s">
        <v>75</v>
      </c>
      <c r="AA15">
        <v>0.75</v>
      </c>
      <c r="AC15" t="s">
        <v>71</v>
      </c>
      <c r="AD15" t="s">
        <v>66</v>
      </c>
      <c r="AE15" t="s">
        <v>44</v>
      </c>
      <c r="AF15" t="s">
        <v>37</v>
      </c>
      <c r="AG15" t="s">
        <v>94</v>
      </c>
      <c r="AH15">
        <v>7</v>
      </c>
    </row>
    <row r="16" spans="1:41">
      <c r="H16" t="s">
        <v>65</v>
      </c>
      <c r="I16" t="s">
        <v>67</v>
      </c>
      <c r="J16" t="s">
        <v>22</v>
      </c>
      <c r="K16" t="s">
        <v>33</v>
      </c>
      <c r="L16" t="s">
        <v>79</v>
      </c>
      <c r="M16">
        <v>0.2</v>
      </c>
      <c r="V16" t="s">
        <v>70</v>
      </c>
      <c r="W16" t="s">
        <v>67</v>
      </c>
      <c r="X16" t="s">
        <v>22</v>
      </c>
      <c r="Y16" t="s">
        <v>33</v>
      </c>
      <c r="Z16" t="s">
        <v>79</v>
      </c>
      <c r="AA16">
        <v>0.375</v>
      </c>
      <c r="AC16" t="s">
        <v>71</v>
      </c>
      <c r="AD16" t="s">
        <v>66</v>
      </c>
      <c r="AE16" t="s">
        <v>44</v>
      </c>
      <c r="AF16" t="s">
        <v>37</v>
      </c>
      <c r="AG16" t="s">
        <v>95</v>
      </c>
      <c r="AH16">
        <v>8</v>
      </c>
    </row>
    <row r="17" spans="8:41">
      <c r="H17" t="s">
        <v>65</v>
      </c>
      <c r="I17" t="s">
        <v>67</v>
      </c>
      <c r="J17" t="s">
        <v>22</v>
      </c>
      <c r="K17" t="s">
        <v>33</v>
      </c>
      <c r="L17" t="s">
        <v>82</v>
      </c>
      <c r="M17">
        <v>0.1</v>
      </c>
      <c r="V17" t="s">
        <v>70</v>
      </c>
      <c r="W17" t="s">
        <v>67</v>
      </c>
      <c r="X17" t="s">
        <v>22</v>
      </c>
      <c r="Y17" t="s">
        <v>33</v>
      </c>
      <c r="Z17" t="s">
        <v>82</v>
      </c>
      <c r="AA17">
        <v>0.2</v>
      </c>
      <c r="AC17" t="s">
        <v>71</v>
      </c>
      <c r="AD17" t="s">
        <v>66</v>
      </c>
      <c r="AE17" t="s">
        <v>44</v>
      </c>
      <c r="AF17" t="s">
        <v>37</v>
      </c>
      <c r="AG17" t="s">
        <v>96</v>
      </c>
      <c r="AH17">
        <v>9</v>
      </c>
    </row>
    <row r="18" spans="8:41">
      <c r="H18" t="s">
        <v>65</v>
      </c>
      <c r="I18" t="s">
        <v>67</v>
      </c>
      <c r="J18" t="s">
        <v>28</v>
      </c>
      <c r="K18" t="s">
        <v>68</v>
      </c>
      <c r="L18" t="s">
        <v>69</v>
      </c>
      <c r="M18">
        <v>6</v>
      </c>
      <c r="V18" t="s">
        <v>70</v>
      </c>
      <c r="W18" t="s">
        <v>67</v>
      </c>
      <c r="X18" t="s">
        <v>28</v>
      </c>
      <c r="Y18" t="s">
        <v>68</v>
      </c>
      <c r="Z18" t="s">
        <v>69</v>
      </c>
      <c r="AA18">
        <v>3.75</v>
      </c>
      <c r="AC18" t="s">
        <v>71</v>
      </c>
      <c r="AD18" t="s">
        <v>66</v>
      </c>
      <c r="AE18" t="s">
        <v>44</v>
      </c>
      <c r="AF18" t="s">
        <v>37</v>
      </c>
      <c r="AG18" t="s">
        <v>97</v>
      </c>
      <c r="AH18">
        <v>10</v>
      </c>
    </row>
    <row r="19" spans="8:41">
      <c r="H19" t="s">
        <v>65</v>
      </c>
      <c r="I19" t="s">
        <v>67</v>
      </c>
      <c r="J19" t="s">
        <v>28</v>
      </c>
      <c r="K19" t="s">
        <v>68</v>
      </c>
      <c r="L19" t="s">
        <v>75</v>
      </c>
      <c r="M19">
        <v>5.25</v>
      </c>
      <c r="V19" t="s">
        <v>70</v>
      </c>
      <c r="W19" t="s">
        <v>67</v>
      </c>
      <c r="X19" t="s">
        <v>28</v>
      </c>
      <c r="Y19" t="s">
        <v>68</v>
      </c>
      <c r="Z19" t="s">
        <v>75</v>
      </c>
      <c r="AA19">
        <v>3</v>
      </c>
      <c r="AC19" t="s">
        <v>71</v>
      </c>
      <c r="AD19" t="s">
        <v>66</v>
      </c>
      <c r="AE19" t="s">
        <v>44</v>
      </c>
      <c r="AF19" t="s">
        <v>37</v>
      </c>
      <c r="AG19" t="s">
        <v>98</v>
      </c>
      <c r="AH19">
        <v>11</v>
      </c>
      <c r="AJ19" t="s">
        <v>71</v>
      </c>
      <c r="AK19" t="s">
        <v>67</v>
      </c>
      <c r="AL19" t="s">
        <v>99</v>
      </c>
      <c r="AM19" t="s">
        <v>33</v>
      </c>
      <c r="AN19" t="s">
        <v>100</v>
      </c>
      <c r="AO19">
        <v>4</v>
      </c>
    </row>
    <row r="20" spans="8:41">
      <c r="H20" t="s">
        <v>65</v>
      </c>
      <c r="I20" t="s">
        <v>67</v>
      </c>
      <c r="J20" t="s">
        <v>28</v>
      </c>
      <c r="K20" t="s">
        <v>68</v>
      </c>
      <c r="L20" t="s">
        <v>79</v>
      </c>
      <c r="M20">
        <v>4.5</v>
      </c>
      <c r="V20" t="s">
        <v>70</v>
      </c>
      <c r="W20" t="s">
        <v>67</v>
      </c>
      <c r="X20" t="s">
        <v>28</v>
      </c>
      <c r="Y20" t="s">
        <v>68</v>
      </c>
      <c r="Z20" t="s">
        <v>79</v>
      </c>
      <c r="AA20">
        <v>2.25</v>
      </c>
      <c r="AC20" t="s">
        <v>71</v>
      </c>
      <c r="AD20" t="s">
        <v>66</v>
      </c>
      <c r="AE20" t="s">
        <v>44</v>
      </c>
      <c r="AF20" t="s">
        <v>37</v>
      </c>
      <c r="AG20" t="s">
        <v>101</v>
      </c>
      <c r="AH20">
        <v>12</v>
      </c>
      <c r="AJ20" t="s">
        <v>71</v>
      </c>
      <c r="AK20" t="s">
        <v>67</v>
      </c>
      <c r="AL20" t="s">
        <v>99</v>
      </c>
      <c r="AM20" t="s">
        <v>33</v>
      </c>
      <c r="AN20" t="s">
        <v>54</v>
      </c>
      <c r="AO20">
        <v>2</v>
      </c>
    </row>
    <row r="21" spans="8:41">
      <c r="H21" t="s">
        <v>65</v>
      </c>
      <c r="I21" t="s">
        <v>67</v>
      </c>
      <c r="J21" t="s">
        <v>28</v>
      </c>
      <c r="K21" t="s">
        <v>68</v>
      </c>
      <c r="L21" t="s">
        <v>82</v>
      </c>
      <c r="M21">
        <v>3.75</v>
      </c>
      <c r="V21" t="s">
        <v>70</v>
      </c>
      <c r="W21" t="s">
        <v>67</v>
      </c>
      <c r="X21" t="s">
        <v>28</v>
      </c>
      <c r="Y21" t="s">
        <v>68</v>
      </c>
      <c r="Z21" t="s">
        <v>82</v>
      </c>
      <c r="AA21">
        <v>1.5</v>
      </c>
      <c r="AC21" t="s">
        <v>71</v>
      </c>
      <c r="AD21" t="s">
        <v>66</v>
      </c>
      <c r="AE21" t="s">
        <v>44</v>
      </c>
      <c r="AF21" t="s">
        <v>37</v>
      </c>
      <c r="AG21" t="s">
        <v>102</v>
      </c>
      <c r="AH21">
        <v>13</v>
      </c>
      <c r="AJ21" t="s">
        <v>71</v>
      </c>
      <c r="AK21" t="s">
        <v>67</v>
      </c>
      <c r="AL21" t="s">
        <v>99</v>
      </c>
      <c r="AM21" t="s">
        <v>23</v>
      </c>
      <c r="AN21" t="s">
        <v>100</v>
      </c>
      <c r="AO21">
        <v>5.5</v>
      </c>
    </row>
    <row r="22" spans="8:41">
      <c r="H22" t="s">
        <v>65</v>
      </c>
      <c r="I22" t="s">
        <v>67</v>
      </c>
      <c r="J22" t="s">
        <v>28</v>
      </c>
      <c r="K22" t="s">
        <v>81</v>
      </c>
      <c r="L22" t="s">
        <v>69</v>
      </c>
      <c r="M22">
        <v>5.25</v>
      </c>
      <c r="V22" t="s">
        <v>70</v>
      </c>
      <c r="W22" t="s">
        <v>67</v>
      </c>
      <c r="X22" t="s">
        <v>28</v>
      </c>
      <c r="Y22" t="s">
        <v>81</v>
      </c>
      <c r="Z22" t="s">
        <v>69</v>
      </c>
      <c r="AA22">
        <v>3</v>
      </c>
      <c r="AC22" t="s">
        <v>71</v>
      </c>
      <c r="AD22" t="s">
        <v>66</v>
      </c>
      <c r="AE22" t="s">
        <v>44</v>
      </c>
      <c r="AF22" t="s">
        <v>37</v>
      </c>
      <c r="AG22" t="s">
        <v>103</v>
      </c>
      <c r="AH22">
        <v>14</v>
      </c>
      <c r="AJ22" t="s">
        <v>71</v>
      </c>
      <c r="AK22" t="s">
        <v>67</v>
      </c>
      <c r="AL22" t="s">
        <v>99</v>
      </c>
      <c r="AM22" t="s">
        <v>23</v>
      </c>
      <c r="AN22" t="s">
        <v>54</v>
      </c>
      <c r="AO22">
        <v>2.5</v>
      </c>
    </row>
    <row r="23" spans="8:41">
      <c r="H23" t="s">
        <v>65</v>
      </c>
      <c r="I23" t="s">
        <v>67</v>
      </c>
      <c r="J23" t="s">
        <v>28</v>
      </c>
      <c r="K23" t="s">
        <v>81</v>
      </c>
      <c r="L23" t="s">
        <v>75</v>
      </c>
      <c r="M23">
        <v>4.5</v>
      </c>
      <c r="V23" t="s">
        <v>70</v>
      </c>
      <c r="W23" t="s">
        <v>67</v>
      </c>
      <c r="X23" t="s">
        <v>28</v>
      </c>
      <c r="Y23" t="s">
        <v>81</v>
      </c>
      <c r="Z23" t="s">
        <v>75</v>
      </c>
      <c r="AA23">
        <v>2.25</v>
      </c>
      <c r="AC23" t="s">
        <v>71</v>
      </c>
      <c r="AD23" t="s">
        <v>66</v>
      </c>
      <c r="AE23" t="s">
        <v>44</v>
      </c>
      <c r="AF23" t="s">
        <v>37</v>
      </c>
      <c r="AG23" t="s">
        <v>104</v>
      </c>
      <c r="AH23">
        <v>15</v>
      </c>
      <c r="AJ23" t="s">
        <v>71</v>
      </c>
      <c r="AK23" t="s">
        <v>67</v>
      </c>
      <c r="AL23" t="s">
        <v>99</v>
      </c>
      <c r="AM23" t="s">
        <v>78</v>
      </c>
      <c r="AN23" t="s">
        <v>100</v>
      </c>
      <c r="AO23">
        <v>7</v>
      </c>
    </row>
    <row r="24" spans="8:41">
      <c r="H24" t="s">
        <v>65</v>
      </c>
      <c r="I24" t="s">
        <v>67</v>
      </c>
      <c r="J24" t="s">
        <v>28</v>
      </c>
      <c r="K24" t="s">
        <v>81</v>
      </c>
      <c r="L24" t="s">
        <v>79</v>
      </c>
      <c r="M24">
        <v>3.75</v>
      </c>
      <c r="V24" t="s">
        <v>70</v>
      </c>
      <c r="W24" t="s">
        <v>67</v>
      </c>
      <c r="X24" t="s">
        <v>28</v>
      </c>
      <c r="Y24" t="s">
        <v>81</v>
      </c>
      <c r="Z24" t="s">
        <v>79</v>
      </c>
      <c r="AA24">
        <v>1.5</v>
      </c>
      <c r="AC24" t="s">
        <v>71</v>
      </c>
      <c r="AD24" t="s">
        <v>66</v>
      </c>
      <c r="AE24" t="s">
        <v>47</v>
      </c>
      <c r="AF24" t="s">
        <v>37</v>
      </c>
      <c r="AG24" t="s">
        <v>48</v>
      </c>
      <c r="AH24">
        <v>0</v>
      </c>
      <c r="AJ24" t="s">
        <v>71</v>
      </c>
      <c r="AK24" t="s">
        <v>67</v>
      </c>
      <c r="AL24" t="s">
        <v>99</v>
      </c>
      <c r="AM24" t="s">
        <v>78</v>
      </c>
      <c r="AN24" t="s">
        <v>54</v>
      </c>
      <c r="AO24">
        <v>3</v>
      </c>
    </row>
    <row r="25" spans="8:41">
      <c r="H25" t="s">
        <v>65</v>
      </c>
      <c r="I25" t="s">
        <v>67</v>
      </c>
      <c r="J25" t="s">
        <v>28</v>
      </c>
      <c r="K25" t="s">
        <v>81</v>
      </c>
      <c r="L25" t="s">
        <v>82</v>
      </c>
      <c r="M25">
        <v>3</v>
      </c>
      <c r="V25" t="s">
        <v>70</v>
      </c>
      <c r="W25" t="s">
        <v>67</v>
      </c>
      <c r="X25" t="s">
        <v>28</v>
      </c>
      <c r="Y25" t="s">
        <v>81</v>
      </c>
      <c r="Z25" t="s">
        <v>82</v>
      </c>
      <c r="AA25">
        <v>0.75</v>
      </c>
      <c r="AC25" t="s">
        <v>71</v>
      </c>
      <c r="AD25" t="s">
        <v>66</v>
      </c>
      <c r="AE25" t="s">
        <v>47</v>
      </c>
      <c r="AF25" t="s">
        <v>37</v>
      </c>
      <c r="AG25" t="s">
        <v>105</v>
      </c>
      <c r="AH25">
        <v>3</v>
      </c>
      <c r="AJ25" t="s">
        <v>71</v>
      </c>
      <c r="AK25" t="s">
        <v>67</v>
      </c>
      <c r="AL25" t="s">
        <v>99</v>
      </c>
      <c r="AM25" t="s">
        <v>81</v>
      </c>
      <c r="AN25" t="s">
        <v>100</v>
      </c>
      <c r="AO25">
        <v>8.5</v>
      </c>
    </row>
    <row r="26" spans="8:41">
      <c r="H26" t="s">
        <v>65</v>
      </c>
      <c r="I26" t="s">
        <v>67</v>
      </c>
      <c r="J26" t="s">
        <v>28</v>
      </c>
      <c r="K26" t="s">
        <v>23</v>
      </c>
      <c r="L26" t="s">
        <v>69</v>
      </c>
      <c r="M26">
        <v>3</v>
      </c>
      <c r="V26" t="s">
        <v>70</v>
      </c>
      <c r="W26" t="s">
        <v>67</v>
      </c>
      <c r="X26" t="s">
        <v>28</v>
      </c>
      <c r="Y26" t="s">
        <v>23</v>
      </c>
      <c r="Z26" t="s">
        <v>69</v>
      </c>
      <c r="AA26">
        <v>2.25</v>
      </c>
      <c r="AC26" t="s">
        <v>71</v>
      </c>
      <c r="AD26" t="s">
        <v>66</v>
      </c>
      <c r="AE26" t="s">
        <v>47</v>
      </c>
      <c r="AF26" t="s">
        <v>37</v>
      </c>
      <c r="AG26" t="s">
        <v>106</v>
      </c>
      <c r="AH26">
        <v>6</v>
      </c>
      <c r="AJ26" t="s">
        <v>71</v>
      </c>
      <c r="AK26" t="s">
        <v>67</v>
      </c>
      <c r="AL26" t="s">
        <v>99</v>
      </c>
      <c r="AM26" t="s">
        <v>81</v>
      </c>
      <c r="AN26" t="s">
        <v>54</v>
      </c>
      <c r="AO26">
        <v>4</v>
      </c>
    </row>
    <row r="27" spans="8:41">
      <c r="H27" t="s">
        <v>65</v>
      </c>
      <c r="I27" t="s">
        <v>67</v>
      </c>
      <c r="J27" t="s">
        <v>28</v>
      </c>
      <c r="K27" t="s">
        <v>23</v>
      </c>
      <c r="L27" t="s">
        <v>75</v>
      </c>
      <c r="M27">
        <v>2.25</v>
      </c>
      <c r="V27" t="s">
        <v>70</v>
      </c>
      <c r="W27" t="s">
        <v>67</v>
      </c>
      <c r="X27" t="s">
        <v>28</v>
      </c>
      <c r="Y27" t="s">
        <v>23</v>
      </c>
      <c r="Z27" t="s">
        <v>75</v>
      </c>
      <c r="AA27">
        <v>1.5</v>
      </c>
      <c r="AC27" t="s">
        <v>71</v>
      </c>
      <c r="AD27" t="s">
        <v>66</v>
      </c>
      <c r="AE27" t="s">
        <v>47</v>
      </c>
      <c r="AF27" t="s">
        <v>37</v>
      </c>
      <c r="AG27" t="s">
        <v>107</v>
      </c>
      <c r="AH27">
        <v>6</v>
      </c>
      <c r="AJ27" t="s">
        <v>71</v>
      </c>
      <c r="AK27" t="s">
        <v>67</v>
      </c>
      <c r="AL27" t="s">
        <v>99</v>
      </c>
      <c r="AM27" t="s">
        <v>68</v>
      </c>
      <c r="AN27" t="s">
        <v>100</v>
      </c>
      <c r="AO27">
        <v>10</v>
      </c>
    </row>
    <row r="28" spans="8:41">
      <c r="H28" t="s">
        <v>65</v>
      </c>
      <c r="I28" t="s">
        <v>67</v>
      </c>
      <c r="J28" t="s">
        <v>28</v>
      </c>
      <c r="K28" t="s">
        <v>23</v>
      </c>
      <c r="L28" t="s">
        <v>79</v>
      </c>
      <c r="M28">
        <v>1.5</v>
      </c>
      <c r="V28" t="s">
        <v>70</v>
      </c>
      <c r="W28" t="s">
        <v>67</v>
      </c>
      <c r="X28" t="s">
        <v>28</v>
      </c>
      <c r="Y28" t="s">
        <v>23</v>
      </c>
      <c r="Z28" t="s">
        <v>79</v>
      </c>
      <c r="AA28">
        <v>0.75</v>
      </c>
      <c r="AC28" t="s">
        <v>71</v>
      </c>
      <c r="AD28" t="s">
        <v>66</v>
      </c>
      <c r="AE28" t="s">
        <v>50</v>
      </c>
      <c r="AF28" t="s">
        <v>37</v>
      </c>
      <c r="AG28" t="s">
        <v>51</v>
      </c>
      <c r="AH28">
        <v>6</v>
      </c>
      <c r="AJ28" t="s">
        <v>71</v>
      </c>
      <c r="AK28" t="s">
        <v>67</v>
      </c>
      <c r="AL28" t="s">
        <v>99</v>
      </c>
      <c r="AM28" t="s">
        <v>68</v>
      </c>
      <c r="AN28" t="s">
        <v>54</v>
      </c>
      <c r="AO28">
        <v>5.5</v>
      </c>
    </row>
    <row r="29" spans="8:41">
      <c r="H29" t="s">
        <v>65</v>
      </c>
      <c r="I29" t="s">
        <v>67</v>
      </c>
      <c r="J29" t="s">
        <v>28</v>
      </c>
      <c r="K29" t="s">
        <v>23</v>
      </c>
      <c r="L29" t="s">
        <v>82</v>
      </c>
      <c r="M29">
        <v>0.75</v>
      </c>
      <c r="V29" t="s">
        <v>70</v>
      </c>
      <c r="W29" t="s">
        <v>67</v>
      </c>
      <c r="X29" t="s">
        <v>28</v>
      </c>
      <c r="Y29" t="s">
        <v>23</v>
      </c>
      <c r="Z29" t="s">
        <v>82</v>
      </c>
      <c r="AA29">
        <v>0.375</v>
      </c>
      <c r="AC29" t="s">
        <v>71</v>
      </c>
      <c r="AD29" t="s">
        <v>66</v>
      </c>
      <c r="AE29" t="s">
        <v>50</v>
      </c>
      <c r="AF29" t="s">
        <v>37</v>
      </c>
      <c r="AG29" t="s">
        <v>108</v>
      </c>
      <c r="AH29">
        <v>9</v>
      </c>
      <c r="AJ29" t="s">
        <v>71</v>
      </c>
      <c r="AK29" t="s">
        <v>67</v>
      </c>
      <c r="AL29" t="s">
        <v>99</v>
      </c>
      <c r="AM29" t="s">
        <v>33</v>
      </c>
      <c r="AN29" t="s">
        <v>109</v>
      </c>
      <c r="AO29">
        <v>4</v>
      </c>
    </row>
    <row r="30" spans="8:41">
      <c r="H30" t="s">
        <v>65</v>
      </c>
      <c r="I30" t="s">
        <v>67</v>
      </c>
      <c r="J30" t="s">
        <v>28</v>
      </c>
      <c r="K30" t="s">
        <v>33</v>
      </c>
      <c r="L30" t="s">
        <v>69</v>
      </c>
      <c r="M30">
        <v>1.5</v>
      </c>
      <c r="V30" t="s">
        <v>70</v>
      </c>
      <c r="W30" t="s">
        <v>67</v>
      </c>
      <c r="X30" t="s">
        <v>28</v>
      </c>
      <c r="Y30" t="s">
        <v>33</v>
      </c>
      <c r="Z30" t="s">
        <v>69</v>
      </c>
      <c r="AA30">
        <v>0.75</v>
      </c>
      <c r="AC30" t="s">
        <v>71</v>
      </c>
      <c r="AD30" t="s">
        <v>66</v>
      </c>
      <c r="AE30" t="s">
        <v>50</v>
      </c>
      <c r="AF30" t="s">
        <v>37</v>
      </c>
      <c r="AG30" t="s">
        <v>110</v>
      </c>
      <c r="AH30">
        <v>12</v>
      </c>
      <c r="AJ30" t="s">
        <v>71</v>
      </c>
      <c r="AK30" t="s">
        <v>67</v>
      </c>
      <c r="AL30" t="s">
        <v>99</v>
      </c>
      <c r="AM30" t="s">
        <v>33</v>
      </c>
      <c r="AN30" t="s">
        <v>111</v>
      </c>
      <c r="AO30">
        <v>2</v>
      </c>
    </row>
    <row r="31" spans="8:41">
      <c r="H31" t="s">
        <v>65</v>
      </c>
      <c r="I31" t="s">
        <v>67</v>
      </c>
      <c r="J31" t="s">
        <v>28</v>
      </c>
      <c r="K31" t="s">
        <v>33</v>
      </c>
      <c r="L31" t="s">
        <v>75</v>
      </c>
      <c r="M31">
        <v>0.75</v>
      </c>
      <c r="V31" t="s">
        <v>70</v>
      </c>
      <c r="W31" t="s">
        <v>67</v>
      </c>
      <c r="X31" t="s">
        <v>28</v>
      </c>
      <c r="Y31" t="s">
        <v>33</v>
      </c>
      <c r="Z31" t="s">
        <v>75</v>
      </c>
      <c r="AA31">
        <v>0.375</v>
      </c>
      <c r="AC31" t="s">
        <v>71</v>
      </c>
      <c r="AD31" t="s">
        <v>66</v>
      </c>
      <c r="AE31" t="s">
        <v>50</v>
      </c>
      <c r="AF31" t="s">
        <v>37</v>
      </c>
      <c r="AG31" t="s">
        <v>112</v>
      </c>
      <c r="AH31">
        <v>15</v>
      </c>
      <c r="AJ31" t="s">
        <v>71</v>
      </c>
      <c r="AK31" t="s">
        <v>67</v>
      </c>
      <c r="AL31" t="s">
        <v>99</v>
      </c>
      <c r="AM31" t="s">
        <v>33</v>
      </c>
      <c r="AN31" t="s">
        <v>113</v>
      </c>
      <c r="AO31">
        <v>2.5</v>
      </c>
    </row>
    <row r="32" spans="8:41">
      <c r="H32" t="s">
        <v>65</v>
      </c>
      <c r="I32" t="s">
        <v>67</v>
      </c>
      <c r="J32" t="s">
        <v>28</v>
      </c>
      <c r="K32" t="s">
        <v>33</v>
      </c>
      <c r="L32" t="s">
        <v>79</v>
      </c>
      <c r="M32">
        <v>0.375</v>
      </c>
      <c r="V32" t="s">
        <v>70</v>
      </c>
      <c r="W32" t="s">
        <v>67</v>
      </c>
      <c r="X32" t="s">
        <v>28</v>
      </c>
      <c r="Y32" t="s">
        <v>33</v>
      </c>
      <c r="Z32" t="s">
        <v>79</v>
      </c>
      <c r="AA32">
        <v>0.2</v>
      </c>
      <c r="AC32" t="s">
        <v>71</v>
      </c>
      <c r="AD32" t="s">
        <v>66</v>
      </c>
      <c r="AE32" t="s">
        <v>50</v>
      </c>
      <c r="AF32" t="s">
        <v>37</v>
      </c>
      <c r="AG32" t="s">
        <v>114</v>
      </c>
      <c r="AH32">
        <v>0</v>
      </c>
      <c r="AJ32" t="s">
        <v>71</v>
      </c>
      <c r="AK32" t="s">
        <v>67</v>
      </c>
      <c r="AL32" t="s">
        <v>99</v>
      </c>
      <c r="AM32" t="s">
        <v>33</v>
      </c>
      <c r="AN32" t="s">
        <v>115</v>
      </c>
      <c r="AO32">
        <v>1.25</v>
      </c>
    </row>
    <row r="33" spans="8:41">
      <c r="H33" t="s">
        <v>65</v>
      </c>
      <c r="I33" t="s">
        <v>67</v>
      </c>
      <c r="J33" t="s">
        <v>28</v>
      </c>
      <c r="K33" t="s">
        <v>33</v>
      </c>
      <c r="L33" t="s">
        <v>82</v>
      </c>
      <c r="M33">
        <v>0.2</v>
      </c>
      <c r="V33" t="s">
        <v>70</v>
      </c>
      <c r="W33" t="s">
        <v>67</v>
      </c>
      <c r="X33" t="s">
        <v>28</v>
      </c>
      <c r="Y33" t="s">
        <v>33</v>
      </c>
      <c r="Z33" t="s">
        <v>82</v>
      </c>
      <c r="AA33">
        <v>0.1</v>
      </c>
      <c r="AJ33" t="s">
        <v>71</v>
      </c>
      <c r="AK33" t="s">
        <v>67</v>
      </c>
      <c r="AL33" t="s">
        <v>99</v>
      </c>
      <c r="AM33" t="s">
        <v>33</v>
      </c>
      <c r="AN33" t="s">
        <v>116</v>
      </c>
      <c r="AO33">
        <v>1.5</v>
      </c>
    </row>
    <row r="34" spans="8:41">
      <c r="H34" t="s">
        <v>65</v>
      </c>
      <c r="I34" t="s">
        <v>67</v>
      </c>
      <c r="J34" t="s">
        <v>22</v>
      </c>
      <c r="K34" t="s">
        <v>33</v>
      </c>
      <c r="L34" t="s">
        <v>117</v>
      </c>
      <c r="M34">
        <v>1.75</v>
      </c>
      <c r="V34" t="s">
        <v>70</v>
      </c>
      <c r="W34" t="s">
        <v>67</v>
      </c>
      <c r="X34" t="s">
        <v>22</v>
      </c>
      <c r="Y34" t="s">
        <v>33</v>
      </c>
      <c r="Z34" t="s">
        <v>118</v>
      </c>
      <c r="AA34">
        <v>2.5</v>
      </c>
      <c r="AJ34" t="s">
        <v>71</v>
      </c>
      <c r="AK34" t="s">
        <v>67</v>
      </c>
      <c r="AL34" t="s">
        <v>99</v>
      </c>
      <c r="AM34" t="s">
        <v>33</v>
      </c>
      <c r="AN34" t="s">
        <v>119</v>
      </c>
      <c r="AO34">
        <v>0.75</v>
      </c>
    </row>
    <row r="35" spans="8:41">
      <c r="H35" t="s">
        <v>65</v>
      </c>
      <c r="I35" t="s">
        <v>67</v>
      </c>
      <c r="J35" t="s">
        <v>22</v>
      </c>
      <c r="K35" t="s">
        <v>23</v>
      </c>
      <c r="L35" t="s">
        <v>117</v>
      </c>
      <c r="M35">
        <v>3.25</v>
      </c>
      <c r="V35" t="s">
        <v>70</v>
      </c>
      <c r="W35" t="s">
        <v>67</v>
      </c>
      <c r="X35" t="s">
        <v>22</v>
      </c>
      <c r="Y35" t="s">
        <v>23</v>
      </c>
      <c r="Z35" t="s">
        <v>118</v>
      </c>
      <c r="AA35">
        <v>4</v>
      </c>
      <c r="AJ35" t="s">
        <v>71</v>
      </c>
      <c r="AK35" t="s">
        <v>67</v>
      </c>
      <c r="AL35" t="s">
        <v>99</v>
      </c>
      <c r="AM35" t="s">
        <v>33</v>
      </c>
      <c r="AN35" t="s">
        <v>120</v>
      </c>
      <c r="AO35">
        <v>1</v>
      </c>
    </row>
    <row r="36" spans="8:41">
      <c r="H36" t="s">
        <v>65</v>
      </c>
      <c r="I36" t="s">
        <v>67</v>
      </c>
      <c r="J36" t="s">
        <v>22</v>
      </c>
      <c r="K36" t="s">
        <v>81</v>
      </c>
      <c r="L36" t="s">
        <v>117</v>
      </c>
      <c r="M36">
        <v>5.5</v>
      </c>
      <c r="V36" t="s">
        <v>70</v>
      </c>
      <c r="W36" t="s">
        <v>67</v>
      </c>
      <c r="X36" t="s">
        <v>22</v>
      </c>
      <c r="Y36" t="s">
        <v>81</v>
      </c>
      <c r="Z36" t="s">
        <v>118</v>
      </c>
      <c r="AA36">
        <v>5.5</v>
      </c>
      <c r="AJ36" t="s">
        <v>71</v>
      </c>
      <c r="AK36" t="s">
        <v>67</v>
      </c>
      <c r="AL36" t="s">
        <v>99</v>
      </c>
      <c r="AM36" t="s">
        <v>33</v>
      </c>
      <c r="AN36" t="s">
        <v>121</v>
      </c>
      <c r="AO36">
        <v>0</v>
      </c>
    </row>
    <row r="37" spans="8:41">
      <c r="H37" t="s">
        <v>65</v>
      </c>
      <c r="I37" t="s">
        <v>67</v>
      </c>
      <c r="J37" t="s">
        <v>22</v>
      </c>
      <c r="K37" t="s">
        <v>68</v>
      </c>
      <c r="L37" t="s">
        <v>117</v>
      </c>
      <c r="M37">
        <v>7</v>
      </c>
      <c r="V37" t="s">
        <v>70</v>
      </c>
      <c r="W37" t="s">
        <v>67</v>
      </c>
      <c r="X37" t="s">
        <v>22</v>
      </c>
      <c r="Y37" t="s">
        <v>68</v>
      </c>
      <c r="Z37" t="s">
        <v>118</v>
      </c>
      <c r="AA37">
        <v>7</v>
      </c>
      <c r="AJ37" t="s">
        <v>71</v>
      </c>
      <c r="AK37" t="s">
        <v>67</v>
      </c>
      <c r="AL37" t="s">
        <v>99</v>
      </c>
      <c r="AM37" t="s">
        <v>23</v>
      </c>
      <c r="AN37" t="s">
        <v>109</v>
      </c>
      <c r="AO37">
        <v>5.5</v>
      </c>
    </row>
    <row r="38" spans="8:41">
      <c r="H38" t="s">
        <v>65</v>
      </c>
      <c r="I38" t="s">
        <v>67</v>
      </c>
      <c r="J38" t="s">
        <v>28</v>
      </c>
      <c r="K38" t="s">
        <v>33</v>
      </c>
      <c r="L38" t="s">
        <v>117</v>
      </c>
      <c r="M38">
        <v>2.5</v>
      </c>
      <c r="V38" t="s">
        <v>70</v>
      </c>
      <c r="W38" t="s">
        <v>67</v>
      </c>
      <c r="X38" t="s">
        <v>28</v>
      </c>
      <c r="Y38" t="s">
        <v>33</v>
      </c>
      <c r="Z38" t="s">
        <v>118</v>
      </c>
      <c r="AA38">
        <v>1.75</v>
      </c>
      <c r="AJ38" t="s">
        <v>71</v>
      </c>
      <c r="AK38" t="s">
        <v>67</v>
      </c>
      <c r="AL38" t="s">
        <v>99</v>
      </c>
      <c r="AM38" t="s">
        <v>23</v>
      </c>
      <c r="AN38" t="s">
        <v>111</v>
      </c>
      <c r="AO38">
        <v>2.75</v>
      </c>
    </row>
    <row r="39" spans="8:41">
      <c r="H39" t="s">
        <v>65</v>
      </c>
      <c r="I39" t="s">
        <v>67</v>
      </c>
      <c r="J39" t="s">
        <v>28</v>
      </c>
      <c r="K39" t="s">
        <v>23</v>
      </c>
      <c r="L39" t="s">
        <v>117</v>
      </c>
      <c r="M39">
        <v>4</v>
      </c>
      <c r="V39" t="s">
        <v>70</v>
      </c>
      <c r="W39" t="s">
        <v>67</v>
      </c>
      <c r="X39" t="s">
        <v>28</v>
      </c>
      <c r="Y39" t="s">
        <v>23</v>
      </c>
      <c r="Z39" t="s">
        <v>118</v>
      </c>
      <c r="AA39">
        <v>3.25</v>
      </c>
      <c r="AJ39" t="s">
        <v>71</v>
      </c>
      <c r="AK39" t="s">
        <v>67</v>
      </c>
      <c r="AL39" t="s">
        <v>99</v>
      </c>
      <c r="AM39" t="s">
        <v>23</v>
      </c>
      <c r="AN39" t="s">
        <v>113</v>
      </c>
      <c r="AO39">
        <v>4</v>
      </c>
    </row>
    <row r="40" spans="8:41">
      <c r="H40" t="s">
        <v>65</v>
      </c>
      <c r="I40" t="s">
        <v>67</v>
      </c>
      <c r="J40" t="s">
        <v>28</v>
      </c>
      <c r="K40" t="s">
        <v>81</v>
      </c>
      <c r="L40" t="s">
        <v>117</v>
      </c>
      <c r="M40">
        <v>6.25</v>
      </c>
      <c r="V40" t="s">
        <v>70</v>
      </c>
      <c r="W40" t="s">
        <v>67</v>
      </c>
      <c r="X40" t="s">
        <v>28</v>
      </c>
      <c r="Y40" t="s">
        <v>81</v>
      </c>
      <c r="Z40" t="s">
        <v>118</v>
      </c>
      <c r="AA40">
        <v>4</v>
      </c>
      <c r="AJ40" t="s">
        <v>71</v>
      </c>
      <c r="AK40" t="s">
        <v>67</v>
      </c>
      <c r="AL40" t="s">
        <v>99</v>
      </c>
      <c r="AM40" t="s">
        <v>23</v>
      </c>
      <c r="AN40" t="s">
        <v>115</v>
      </c>
      <c r="AO40">
        <v>2</v>
      </c>
    </row>
    <row r="41" spans="8:41">
      <c r="H41" t="s">
        <v>65</v>
      </c>
      <c r="I41" t="s">
        <v>67</v>
      </c>
      <c r="J41" t="s">
        <v>28</v>
      </c>
      <c r="K41" t="s">
        <v>68</v>
      </c>
      <c r="L41" t="s">
        <v>117</v>
      </c>
      <c r="M41">
        <v>7</v>
      </c>
      <c r="V41" t="s">
        <v>70</v>
      </c>
      <c r="W41" t="s">
        <v>67</v>
      </c>
      <c r="X41" t="s">
        <v>28</v>
      </c>
      <c r="Y41" t="s">
        <v>68</v>
      </c>
      <c r="Z41" t="s">
        <v>118</v>
      </c>
      <c r="AA41">
        <v>4.75</v>
      </c>
      <c r="AJ41" t="s">
        <v>71</v>
      </c>
      <c r="AK41" t="s">
        <v>67</v>
      </c>
      <c r="AL41" t="s">
        <v>99</v>
      </c>
      <c r="AM41" t="s">
        <v>23</v>
      </c>
      <c r="AN41" t="s">
        <v>116</v>
      </c>
      <c r="AO41">
        <v>2.5</v>
      </c>
    </row>
    <row r="42" spans="8:41">
      <c r="J42" t="s">
        <v>122</v>
      </c>
      <c r="K42" t="s">
        <v>33</v>
      </c>
      <c r="L42" t="s">
        <v>69</v>
      </c>
      <c r="M42">
        <v>0.75</v>
      </c>
      <c r="V42" t="s">
        <v>70</v>
      </c>
      <c r="W42" t="s">
        <v>67</v>
      </c>
      <c r="X42" t="s">
        <v>28</v>
      </c>
      <c r="Y42" t="s">
        <v>23</v>
      </c>
      <c r="Z42" t="s">
        <v>123</v>
      </c>
      <c r="AA42">
        <v>1</v>
      </c>
      <c r="AJ42" t="s">
        <v>71</v>
      </c>
      <c r="AK42" t="s">
        <v>67</v>
      </c>
      <c r="AL42" t="s">
        <v>99</v>
      </c>
      <c r="AM42" t="s">
        <v>23</v>
      </c>
      <c r="AN42" t="s">
        <v>119</v>
      </c>
      <c r="AO42">
        <v>1.25</v>
      </c>
    </row>
    <row r="43" spans="8:41">
      <c r="J43" t="s">
        <v>122</v>
      </c>
      <c r="K43" t="s">
        <v>33</v>
      </c>
      <c r="L43" t="s">
        <v>75</v>
      </c>
      <c r="M43">
        <v>0.375</v>
      </c>
      <c r="V43" t="s">
        <v>70</v>
      </c>
      <c r="W43" t="s">
        <v>67</v>
      </c>
      <c r="X43" t="s">
        <v>28</v>
      </c>
      <c r="Y43" t="s">
        <v>33</v>
      </c>
      <c r="Z43" t="s">
        <v>123</v>
      </c>
      <c r="AA43">
        <v>1</v>
      </c>
      <c r="AJ43" t="s">
        <v>71</v>
      </c>
      <c r="AK43" t="s">
        <v>67</v>
      </c>
      <c r="AL43" t="s">
        <v>99</v>
      </c>
      <c r="AM43" t="s">
        <v>23</v>
      </c>
      <c r="AN43" t="s">
        <v>120</v>
      </c>
      <c r="AO43">
        <v>1.5</v>
      </c>
    </row>
    <row r="44" spans="8:41">
      <c r="J44" t="s">
        <v>122</v>
      </c>
      <c r="K44" t="s">
        <v>33</v>
      </c>
      <c r="L44" t="s">
        <v>79</v>
      </c>
      <c r="M44">
        <v>0.2</v>
      </c>
      <c r="V44" t="s">
        <v>70</v>
      </c>
      <c r="W44" t="s">
        <v>67</v>
      </c>
      <c r="X44" t="s">
        <v>22</v>
      </c>
      <c r="Y44" t="s">
        <v>23</v>
      </c>
      <c r="Z44" t="s">
        <v>123</v>
      </c>
      <c r="AA44">
        <v>1</v>
      </c>
      <c r="AJ44" t="s">
        <v>71</v>
      </c>
      <c r="AK44" t="s">
        <v>67</v>
      </c>
      <c r="AL44" t="s">
        <v>99</v>
      </c>
      <c r="AM44" t="s">
        <v>23</v>
      </c>
      <c r="AN44" t="s">
        <v>121</v>
      </c>
      <c r="AO44">
        <v>0.75</v>
      </c>
    </row>
    <row r="45" spans="8:41">
      <c r="J45" t="s">
        <v>122</v>
      </c>
      <c r="K45" t="s">
        <v>33</v>
      </c>
      <c r="L45" t="s">
        <v>82</v>
      </c>
      <c r="M45">
        <v>0.1</v>
      </c>
      <c r="V45" t="s">
        <v>70</v>
      </c>
      <c r="W45" t="s">
        <v>67</v>
      </c>
      <c r="X45" t="s">
        <v>22</v>
      </c>
      <c r="Y45" t="s">
        <v>33</v>
      </c>
      <c r="Z45" t="s">
        <v>123</v>
      </c>
      <c r="AA45">
        <v>1</v>
      </c>
      <c r="AJ45" t="s">
        <v>71</v>
      </c>
      <c r="AK45" t="s">
        <v>67</v>
      </c>
      <c r="AL45" t="s">
        <v>99</v>
      </c>
      <c r="AM45" t="s">
        <v>78</v>
      </c>
      <c r="AN45" t="s">
        <v>109</v>
      </c>
      <c r="AO45">
        <v>7</v>
      </c>
    </row>
    <row r="46" spans="8:41">
      <c r="J46" t="s">
        <v>122</v>
      </c>
      <c r="K46" t="s">
        <v>23</v>
      </c>
      <c r="L46" t="s">
        <v>69</v>
      </c>
      <c r="M46">
        <v>1.5</v>
      </c>
      <c r="V46" t="s">
        <v>70</v>
      </c>
      <c r="W46" t="s">
        <v>67</v>
      </c>
      <c r="X46" t="s">
        <v>124</v>
      </c>
      <c r="Y46" t="s">
        <v>23</v>
      </c>
      <c r="Z46" t="s">
        <v>118</v>
      </c>
      <c r="AA46">
        <v>4.25</v>
      </c>
      <c r="AJ46" t="s">
        <v>71</v>
      </c>
      <c r="AK46" t="s">
        <v>67</v>
      </c>
      <c r="AL46" t="s">
        <v>99</v>
      </c>
      <c r="AM46" t="s">
        <v>78</v>
      </c>
      <c r="AN46" t="s">
        <v>111</v>
      </c>
      <c r="AO46">
        <v>3.5</v>
      </c>
    </row>
    <row r="47" spans="8:41">
      <c r="J47" t="s">
        <v>122</v>
      </c>
      <c r="K47" t="s">
        <v>23</v>
      </c>
      <c r="L47" t="s">
        <v>75</v>
      </c>
      <c r="M47">
        <v>0.75</v>
      </c>
      <c r="V47" t="s">
        <v>70</v>
      </c>
      <c r="W47" t="s">
        <v>67</v>
      </c>
      <c r="X47" t="s">
        <v>124</v>
      </c>
      <c r="Y47" t="s">
        <v>23</v>
      </c>
      <c r="Z47" t="s">
        <v>69</v>
      </c>
      <c r="AA47">
        <v>3.25</v>
      </c>
      <c r="AJ47" t="s">
        <v>71</v>
      </c>
      <c r="AK47" t="s">
        <v>67</v>
      </c>
      <c r="AL47" t="s">
        <v>99</v>
      </c>
      <c r="AM47" t="s">
        <v>78</v>
      </c>
      <c r="AN47" t="s">
        <v>113</v>
      </c>
      <c r="AO47">
        <v>5.5</v>
      </c>
    </row>
    <row r="48" spans="8:41">
      <c r="J48" t="s">
        <v>122</v>
      </c>
      <c r="K48" t="s">
        <v>23</v>
      </c>
      <c r="L48" t="s">
        <v>79</v>
      </c>
      <c r="M48">
        <v>0.375</v>
      </c>
      <c r="V48" t="s">
        <v>70</v>
      </c>
      <c r="W48" t="s">
        <v>67</v>
      </c>
      <c r="X48" t="s">
        <v>124</v>
      </c>
      <c r="Y48" t="s">
        <v>23</v>
      </c>
      <c r="Z48" t="s">
        <v>75</v>
      </c>
      <c r="AA48">
        <v>2.5</v>
      </c>
      <c r="AJ48" t="s">
        <v>71</v>
      </c>
      <c r="AK48" t="s">
        <v>67</v>
      </c>
      <c r="AL48" t="s">
        <v>99</v>
      </c>
      <c r="AM48" t="s">
        <v>78</v>
      </c>
      <c r="AN48" t="s">
        <v>115</v>
      </c>
      <c r="AO48">
        <v>2.75</v>
      </c>
    </row>
    <row r="49" spans="10:41">
      <c r="J49" t="s">
        <v>122</v>
      </c>
      <c r="K49" t="s">
        <v>23</v>
      </c>
      <c r="L49" t="s">
        <v>82</v>
      </c>
      <c r="M49">
        <v>0.2</v>
      </c>
      <c r="V49" t="s">
        <v>70</v>
      </c>
      <c r="W49" t="s">
        <v>67</v>
      </c>
      <c r="X49" t="s">
        <v>124</v>
      </c>
      <c r="Y49" t="s">
        <v>23</v>
      </c>
      <c r="Z49" t="s">
        <v>79</v>
      </c>
      <c r="AA49">
        <v>1.75</v>
      </c>
      <c r="AJ49" t="s">
        <v>71</v>
      </c>
      <c r="AK49" t="s">
        <v>67</v>
      </c>
      <c r="AL49" t="s">
        <v>99</v>
      </c>
      <c r="AM49" t="s">
        <v>78</v>
      </c>
      <c r="AN49" t="s">
        <v>116</v>
      </c>
      <c r="AO49">
        <v>4</v>
      </c>
    </row>
    <row r="50" spans="10:41">
      <c r="V50" t="s">
        <v>70</v>
      </c>
      <c r="W50" t="s">
        <v>67</v>
      </c>
      <c r="X50" t="s">
        <v>125</v>
      </c>
      <c r="Y50" t="s">
        <v>23</v>
      </c>
      <c r="Z50" t="s">
        <v>126</v>
      </c>
      <c r="AA50">
        <v>2</v>
      </c>
      <c r="AJ50" t="s">
        <v>71</v>
      </c>
      <c r="AK50" t="s">
        <v>67</v>
      </c>
      <c r="AL50" t="s">
        <v>99</v>
      </c>
      <c r="AM50" t="s">
        <v>78</v>
      </c>
      <c r="AN50" t="s">
        <v>119</v>
      </c>
      <c r="AO50">
        <v>2</v>
      </c>
    </row>
    <row r="51" spans="10:41">
      <c r="V51" t="s">
        <v>70</v>
      </c>
      <c r="W51" t="s">
        <v>67</v>
      </c>
      <c r="X51" t="s">
        <v>125</v>
      </c>
      <c r="Y51" t="s">
        <v>23</v>
      </c>
      <c r="Z51" t="s">
        <v>127</v>
      </c>
      <c r="AA51">
        <v>0.5</v>
      </c>
      <c r="AJ51" t="s">
        <v>71</v>
      </c>
      <c r="AK51" t="s">
        <v>67</v>
      </c>
      <c r="AL51" t="s">
        <v>99</v>
      </c>
      <c r="AM51" t="s">
        <v>78</v>
      </c>
      <c r="AN51" t="s">
        <v>120</v>
      </c>
      <c r="AO51">
        <v>2.5</v>
      </c>
    </row>
    <row r="52" spans="10:41">
      <c r="AJ52" t="s">
        <v>71</v>
      </c>
      <c r="AK52" t="s">
        <v>67</v>
      </c>
      <c r="AL52" t="s">
        <v>99</v>
      </c>
      <c r="AM52" t="s">
        <v>78</v>
      </c>
      <c r="AN52" t="s">
        <v>121</v>
      </c>
      <c r="AO52">
        <v>1.25</v>
      </c>
    </row>
    <row r="53" spans="10:41">
      <c r="AJ53" t="s">
        <v>71</v>
      </c>
      <c r="AK53" t="s">
        <v>67</v>
      </c>
      <c r="AL53" t="s">
        <v>99</v>
      </c>
      <c r="AM53" t="s">
        <v>81</v>
      </c>
      <c r="AN53" t="s">
        <v>109</v>
      </c>
      <c r="AO53">
        <v>8.5</v>
      </c>
    </row>
    <row r="54" spans="10:41">
      <c r="AJ54" t="s">
        <v>71</v>
      </c>
      <c r="AK54" t="s">
        <v>67</v>
      </c>
      <c r="AL54" t="s">
        <v>99</v>
      </c>
      <c r="AM54" t="s">
        <v>81</v>
      </c>
      <c r="AN54" t="s">
        <v>111</v>
      </c>
      <c r="AO54">
        <v>4.25</v>
      </c>
    </row>
    <row r="55" spans="10:41">
      <c r="AJ55" t="s">
        <v>71</v>
      </c>
      <c r="AK55" t="s">
        <v>67</v>
      </c>
      <c r="AL55" t="s">
        <v>99</v>
      </c>
      <c r="AM55" t="s">
        <v>81</v>
      </c>
      <c r="AN55" t="s">
        <v>113</v>
      </c>
      <c r="AO55">
        <v>7</v>
      </c>
    </row>
    <row r="56" spans="10:41">
      <c r="AJ56" t="s">
        <v>71</v>
      </c>
      <c r="AK56" t="s">
        <v>67</v>
      </c>
      <c r="AL56" t="s">
        <v>99</v>
      </c>
      <c r="AM56" t="s">
        <v>81</v>
      </c>
      <c r="AN56" t="s">
        <v>115</v>
      </c>
      <c r="AO56">
        <v>3.5</v>
      </c>
    </row>
    <row r="57" spans="10:41">
      <c r="AJ57" t="s">
        <v>71</v>
      </c>
      <c r="AK57" t="s">
        <v>67</v>
      </c>
      <c r="AL57" t="s">
        <v>99</v>
      </c>
      <c r="AM57" t="s">
        <v>81</v>
      </c>
      <c r="AN57" t="s">
        <v>116</v>
      </c>
      <c r="AO57">
        <v>5.5</v>
      </c>
    </row>
    <row r="58" spans="10:41">
      <c r="AJ58" t="s">
        <v>71</v>
      </c>
      <c r="AK58" t="s">
        <v>67</v>
      </c>
      <c r="AL58" t="s">
        <v>99</v>
      </c>
      <c r="AM58" t="s">
        <v>81</v>
      </c>
      <c r="AN58" t="s">
        <v>119</v>
      </c>
      <c r="AO58">
        <v>2.75</v>
      </c>
    </row>
    <row r="59" spans="10:41">
      <c r="AJ59" t="s">
        <v>71</v>
      </c>
      <c r="AK59" t="s">
        <v>67</v>
      </c>
      <c r="AL59" t="s">
        <v>99</v>
      </c>
      <c r="AM59" t="s">
        <v>81</v>
      </c>
      <c r="AN59" t="s">
        <v>120</v>
      </c>
      <c r="AO59">
        <v>4</v>
      </c>
    </row>
    <row r="60" spans="10:41">
      <c r="AJ60" t="s">
        <v>71</v>
      </c>
      <c r="AK60" t="s">
        <v>67</v>
      </c>
      <c r="AL60" t="s">
        <v>99</v>
      </c>
      <c r="AM60" t="s">
        <v>81</v>
      </c>
      <c r="AN60" t="s">
        <v>121</v>
      </c>
      <c r="AO60">
        <v>2</v>
      </c>
    </row>
    <row r="61" spans="10:41">
      <c r="AJ61" t="s">
        <v>71</v>
      </c>
      <c r="AK61" t="s">
        <v>67</v>
      </c>
      <c r="AL61" t="s">
        <v>99</v>
      </c>
      <c r="AM61" t="s">
        <v>68</v>
      </c>
      <c r="AN61" t="s">
        <v>109</v>
      </c>
      <c r="AO61">
        <v>10</v>
      </c>
    </row>
    <row r="62" spans="10:41">
      <c r="AJ62" t="s">
        <v>71</v>
      </c>
      <c r="AK62" t="s">
        <v>67</v>
      </c>
      <c r="AL62" t="s">
        <v>99</v>
      </c>
      <c r="AM62" t="s">
        <v>68</v>
      </c>
      <c r="AN62" t="s">
        <v>111</v>
      </c>
      <c r="AO62">
        <v>5</v>
      </c>
    </row>
    <row r="63" spans="10:41">
      <c r="AJ63" t="s">
        <v>71</v>
      </c>
      <c r="AK63" t="s">
        <v>67</v>
      </c>
      <c r="AL63" t="s">
        <v>99</v>
      </c>
      <c r="AM63" t="s">
        <v>68</v>
      </c>
      <c r="AN63" t="s">
        <v>113</v>
      </c>
      <c r="AO63">
        <v>8.5</v>
      </c>
    </row>
    <row r="64" spans="10:41">
      <c r="AJ64" t="s">
        <v>71</v>
      </c>
      <c r="AK64" t="s">
        <v>67</v>
      </c>
      <c r="AL64" t="s">
        <v>99</v>
      </c>
      <c r="AM64" t="s">
        <v>68</v>
      </c>
      <c r="AN64" t="s">
        <v>115</v>
      </c>
      <c r="AO64">
        <v>4.25</v>
      </c>
    </row>
    <row r="65" spans="36:41">
      <c r="AJ65" t="s">
        <v>71</v>
      </c>
      <c r="AK65" t="s">
        <v>67</v>
      </c>
      <c r="AL65" t="s">
        <v>99</v>
      </c>
      <c r="AM65" t="s">
        <v>68</v>
      </c>
      <c r="AN65" t="s">
        <v>116</v>
      </c>
      <c r="AO65">
        <v>7</v>
      </c>
    </row>
    <row r="66" spans="36:41">
      <c r="AJ66" t="s">
        <v>71</v>
      </c>
      <c r="AK66" t="s">
        <v>67</v>
      </c>
      <c r="AL66" t="s">
        <v>99</v>
      </c>
      <c r="AM66" t="s">
        <v>68</v>
      </c>
      <c r="AN66" t="s">
        <v>119</v>
      </c>
      <c r="AO66">
        <v>3.5</v>
      </c>
    </row>
    <row r="67" spans="36:41">
      <c r="AJ67" t="s">
        <v>71</v>
      </c>
      <c r="AK67" t="s">
        <v>67</v>
      </c>
      <c r="AL67" t="s">
        <v>99</v>
      </c>
      <c r="AM67" t="s">
        <v>68</v>
      </c>
      <c r="AN67" t="s">
        <v>120</v>
      </c>
      <c r="AO67">
        <v>5.5</v>
      </c>
    </row>
    <row r="68" spans="36:41">
      <c r="AJ68" t="s">
        <v>71</v>
      </c>
      <c r="AK68" t="s">
        <v>67</v>
      </c>
      <c r="AL68" t="s">
        <v>99</v>
      </c>
      <c r="AM68" t="s">
        <v>68</v>
      </c>
      <c r="AN68" t="s">
        <v>121</v>
      </c>
      <c r="AO68">
        <v>2.75</v>
      </c>
    </row>
    <row r="69" spans="36:41">
      <c r="AJ69" t="s">
        <v>71</v>
      </c>
      <c r="AK69" t="s">
        <v>67</v>
      </c>
      <c r="AL69" t="s">
        <v>47</v>
      </c>
      <c r="AM69" t="s">
        <v>33</v>
      </c>
      <c r="AN69" t="s">
        <v>128</v>
      </c>
      <c r="AO69">
        <v>4</v>
      </c>
    </row>
    <row r="70" spans="36:41">
      <c r="AJ70" t="s">
        <v>71</v>
      </c>
      <c r="AK70" t="s">
        <v>67</v>
      </c>
      <c r="AL70" t="s">
        <v>47</v>
      </c>
      <c r="AM70" t="s">
        <v>33</v>
      </c>
      <c r="AN70" t="s">
        <v>129</v>
      </c>
      <c r="AO70">
        <v>2.5</v>
      </c>
    </row>
    <row r="71" spans="36:41">
      <c r="AJ71" t="s">
        <v>71</v>
      </c>
      <c r="AK71" t="s">
        <v>67</v>
      </c>
      <c r="AL71" t="s">
        <v>47</v>
      </c>
      <c r="AM71" t="s">
        <v>33</v>
      </c>
      <c r="AN71" t="s">
        <v>130</v>
      </c>
      <c r="AO71">
        <v>1</v>
      </c>
    </row>
    <row r="72" spans="36:41">
      <c r="AJ72" t="s">
        <v>71</v>
      </c>
      <c r="AK72" t="s">
        <v>67</v>
      </c>
      <c r="AL72" t="s">
        <v>47</v>
      </c>
      <c r="AM72" t="s">
        <v>23</v>
      </c>
      <c r="AN72" t="s">
        <v>128</v>
      </c>
      <c r="AO72">
        <v>5.5</v>
      </c>
    </row>
    <row r="73" spans="36:41">
      <c r="AJ73" t="s">
        <v>71</v>
      </c>
      <c r="AK73" t="s">
        <v>67</v>
      </c>
      <c r="AL73" t="s">
        <v>47</v>
      </c>
      <c r="AM73" t="s">
        <v>23</v>
      </c>
      <c r="AN73" t="s">
        <v>129</v>
      </c>
      <c r="AO73">
        <v>4</v>
      </c>
    </row>
    <row r="74" spans="36:41">
      <c r="AJ74" t="s">
        <v>71</v>
      </c>
      <c r="AK74" t="s">
        <v>67</v>
      </c>
      <c r="AL74" t="s">
        <v>47</v>
      </c>
      <c r="AM74" t="s">
        <v>23</v>
      </c>
      <c r="AN74" t="s">
        <v>130</v>
      </c>
      <c r="AO74">
        <v>2.5</v>
      </c>
    </row>
    <row r="75" spans="36:41">
      <c r="AJ75" t="s">
        <v>71</v>
      </c>
      <c r="AK75" t="s">
        <v>67</v>
      </c>
      <c r="AL75" t="s">
        <v>47</v>
      </c>
      <c r="AM75" t="s">
        <v>78</v>
      </c>
      <c r="AN75" t="s">
        <v>128</v>
      </c>
      <c r="AO75">
        <v>7</v>
      </c>
    </row>
    <row r="76" spans="36:41">
      <c r="AJ76" t="s">
        <v>71</v>
      </c>
      <c r="AK76" t="s">
        <v>67</v>
      </c>
      <c r="AL76" t="s">
        <v>47</v>
      </c>
      <c r="AM76" t="s">
        <v>78</v>
      </c>
      <c r="AN76" t="s">
        <v>129</v>
      </c>
      <c r="AO76">
        <v>5.5</v>
      </c>
    </row>
    <row r="77" spans="36:41">
      <c r="AJ77" t="s">
        <v>71</v>
      </c>
      <c r="AK77" t="s">
        <v>67</v>
      </c>
      <c r="AL77" t="s">
        <v>47</v>
      </c>
      <c r="AM77" t="s">
        <v>78</v>
      </c>
      <c r="AN77" t="s">
        <v>130</v>
      </c>
      <c r="AO77">
        <v>4</v>
      </c>
    </row>
    <row r="78" spans="36:41">
      <c r="AJ78" t="s">
        <v>71</v>
      </c>
      <c r="AK78" t="s">
        <v>67</v>
      </c>
      <c r="AL78" t="s">
        <v>47</v>
      </c>
      <c r="AM78" t="s">
        <v>81</v>
      </c>
      <c r="AN78" t="s">
        <v>128</v>
      </c>
      <c r="AO78">
        <v>8.5</v>
      </c>
    </row>
    <row r="79" spans="36:41">
      <c r="AJ79" t="s">
        <v>71</v>
      </c>
      <c r="AK79" t="s">
        <v>67</v>
      </c>
      <c r="AL79" t="s">
        <v>47</v>
      </c>
      <c r="AM79" t="s">
        <v>81</v>
      </c>
      <c r="AN79" t="s">
        <v>129</v>
      </c>
      <c r="AO79">
        <v>7</v>
      </c>
    </row>
    <row r="80" spans="36:41">
      <c r="AJ80" t="s">
        <v>71</v>
      </c>
      <c r="AK80" t="s">
        <v>67</v>
      </c>
      <c r="AL80" t="s">
        <v>47</v>
      </c>
      <c r="AM80" t="s">
        <v>81</v>
      </c>
      <c r="AN80" t="s">
        <v>130</v>
      </c>
      <c r="AO80">
        <v>5.5</v>
      </c>
    </row>
    <row r="81" spans="36:41">
      <c r="AJ81" t="s">
        <v>71</v>
      </c>
      <c r="AK81" t="s">
        <v>67</v>
      </c>
      <c r="AL81" t="s">
        <v>47</v>
      </c>
      <c r="AM81" t="s">
        <v>68</v>
      </c>
      <c r="AN81" t="s">
        <v>128</v>
      </c>
      <c r="AO81">
        <v>10</v>
      </c>
    </row>
    <row r="82" spans="36:41">
      <c r="AJ82" t="s">
        <v>71</v>
      </c>
      <c r="AK82" t="s">
        <v>67</v>
      </c>
      <c r="AL82" t="s">
        <v>47</v>
      </c>
      <c r="AM82" t="s">
        <v>68</v>
      </c>
      <c r="AN82" t="s">
        <v>129</v>
      </c>
      <c r="AO82">
        <v>8.5</v>
      </c>
    </row>
    <row r="83" spans="36:41">
      <c r="AJ83" t="s">
        <v>71</v>
      </c>
      <c r="AK83" t="s">
        <v>67</v>
      </c>
      <c r="AL83" t="s">
        <v>47</v>
      </c>
      <c r="AM83" t="s">
        <v>68</v>
      </c>
      <c r="AN83" t="s">
        <v>130</v>
      </c>
      <c r="AO83">
        <v>7</v>
      </c>
    </row>
    <row r="84" spans="36:41">
      <c r="AJ84" t="s">
        <v>71</v>
      </c>
      <c r="AK84" t="s">
        <v>67</v>
      </c>
      <c r="AL84" t="s">
        <v>50</v>
      </c>
      <c r="AM84" t="s">
        <v>131</v>
      </c>
      <c r="AN84" t="s">
        <v>132</v>
      </c>
      <c r="AO84">
        <v>4</v>
      </c>
    </row>
    <row r="85" spans="36:41">
      <c r="AJ85" t="s">
        <v>71</v>
      </c>
      <c r="AK85" t="s">
        <v>67</v>
      </c>
      <c r="AL85" t="s">
        <v>50</v>
      </c>
      <c r="AM85" t="s">
        <v>133</v>
      </c>
      <c r="AN85" t="s">
        <v>132</v>
      </c>
      <c r="AO85">
        <v>3.5</v>
      </c>
    </row>
    <row r="86" spans="36:41">
      <c r="AJ86" t="s">
        <v>71</v>
      </c>
      <c r="AK86" t="s">
        <v>67</v>
      </c>
      <c r="AL86" t="s">
        <v>50</v>
      </c>
      <c r="AM86" t="s">
        <v>131</v>
      </c>
      <c r="AN86" t="s">
        <v>134</v>
      </c>
      <c r="AO86">
        <v>3.5</v>
      </c>
    </row>
    <row r="87" spans="36:41">
      <c r="AJ87" t="s">
        <v>71</v>
      </c>
      <c r="AK87" t="s">
        <v>67</v>
      </c>
      <c r="AL87" t="s">
        <v>50</v>
      </c>
      <c r="AM87" t="s">
        <v>133</v>
      </c>
      <c r="AN87" t="s">
        <v>134</v>
      </c>
      <c r="AO87">
        <v>3</v>
      </c>
    </row>
    <row r="88" spans="36:41">
      <c r="AJ88" t="s">
        <v>71</v>
      </c>
      <c r="AK88" t="s">
        <v>67</v>
      </c>
      <c r="AL88" t="s">
        <v>50</v>
      </c>
      <c r="AM88" t="s">
        <v>131</v>
      </c>
      <c r="AN88" t="s">
        <v>135</v>
      </c>
      <c r="AO88">
        <v>3</v>
      </c>
    </row>
    <row r="89" spans="36:41">
      <c r="AJ89" t="s">
        <v>71</v>
      </c>
      <c r="AK89" t="s">
        <v>67</v>
      </c>
      <c r="AL89" t="s">
        <v>50</v>
      </c>
      <c r="AM89" t="s">
        <v>133</v>
      </c>
      <c r="AN89" t="s">
        <v>135</v>
      </c>
      <c r="AO89">
        <v>2.5</v>
      </c>
    </row>
    <row r="90" spans="36:41">
      <c r="AJ90" t="s">
        <v>71</v>
      </c>
      <c r="AK90" t="s">
        <v>67</v>
      </c>
      <c r="AL90" t="s">
        <v>50</v>
      </c>
      <c r="AM90" t="s">
        <v>131</v>
      </c>
      <c r="AN90" t="s">
        <v>136</v>
      </c>
      <c r="AO90">
        <v>2</v>
      </c>
    </row>
    <row r="91" spans="36:41">
      <c r="AJ91" t="s">
        <v>71</v>
      </c>
      <c r="AK91" t="s">
        <v>67</v>
      </c>
      <c r="AL91" t="s">
        <v>50</v>
      </c>
      <c r="AM91" t="s">
        <v>133</v>
      </c>
      <c r="AN91" t="s">
        <v>136</v>
      </c>
      <c r="AO91">
        <v>2</v>
      </c>
    </row>
    <row r="92" spans="36:41">
      <c r="AJ92" t="s">
        <v>71</v>
      </c>
      <c r="AK92" t="s">
        <v>67</v>
      </c>
      <c r="AL92" t="s">
        <v>50</v>
      </c>
      <c r="AM92" t="s">
        <v>137</v>
      </c>
      <c r="AN92" t="s">
        <v>69</v>
      </c>
      <c r="AO92">
        <v>4</v>
      </c>
    </row>
    <row r="93" spans="36:41">
      <c r="AJ93" t="s">
        <v>71</v>
      </c>
      <c r="AK93" t="s">
        <v>67</v>
      </c>
      <c r="AL93" t="s">
        <v>50</v>
      </c>
      <c r="AM93" t="s">
        <v>138</v>
      </c>
      <c r="AN93" t="s">
        <v>69</v>
      </c>
      <c r="AO93">
        <v>3.5</v>
      </c>
    </row>
    <row r="94" spans="36:41">
      <c r="AJ94" t="s">
        <v>71</v>
      </c>
      <c r="AK94" t="s">
        <v>67</v>
      </c>
      <c r="AL94" t="s">
        <v>50</v>
      </c>
      <c r="AM94" t="s">
        <v>137</v>
      </c>
      <c r="AN94" t="s">
        <v>75</v>
      </c>
      <c r="AO94">
        <v>3.5</v>
      </c>
    </row>
    <row r="95" spans="36:41">
      <c r="AJ95" t="s">
        <v>71</v>
      </c>
      <c r="AK95" t="s">
        <v>67</v>
      </c>
      <c r="AL95" t="s">
        <v>50</v>
      </c>
      <c r="AM95" t="s">
        <v>138</v>
      </c>
      <c r="AN95" t="s">
        <v>75</v>
      </c>
      <c r="AO95">
        <v>3</v>
      </c>
    </row>
    <row r="96" spans="36:41">
      <c r="AJ96" t="s">
        <v>71</v>
      </c>
      <c r="AK96" t="s">
        <v>67</v>
      </c>
      <c r="AL96" t="s">
        <v>50</v>
      </c>
      <c r="AM96" t="s">
        <v>137</v>
      </c>
      <c r="AN96" t="s">
        <v>139</v>
      </c>
      <c r="AO96">
        <v>3</v>
      </c>
    </row>
    <row r="97" spans="36:41">
      <c r="AJ97" t="s">
        <v>71</v>
      </c>
      <c r="AK97" t="s">
        <v>67</v>
      </c>
      <c r="AL97" t="s">
        <v>50</v>
      </c>
      <c r="AM97" t="s">
        <v>138</v>
      </c>
      <c r="AN97" t="s">
        <v>139</v>
      </c>
      <c r="AO97">
        <v>2.5</v>
      </c>
    </row>
    <row r="98" spans="36:41">
      <c r="AJ98" t="s">
        <v>71</v>
      </c>
      <c r="AK98" t="s">
        <v>67</v>
      </c>
      <c r="AL98" t="s">
        <v>50</v>
      </c>
      <c r="AM98" t="s">
        <v>137</v>
      </c>
      <c r="AN98" t="s">
        <v>136</v>
      </c>
      <c r="AO98">
        <v>2</v>
      </c>
    </row>
    <row r="99" spans="36:41">
      <c r="AJ99" t="s">
        <v>71</v>
      </c>
      <c r="AK99" t="s">
        <v>67</v>
      </c>
      <c r="AL99" t="s">
        <v>50</v>
      </c>
      <c r="AM99" t="s">
        <v>138</v>
      </c>
      <c r="AN99" t="s">
        <v>136</v>
      </c>
      <c r="AO99">
        <v>2</v>
      </c>
    </row>
    <row r="100" spans="36:41">
      <c r="AJ100" t="s">
        <v>71</v>
      </c>
      <c r="AK100" t="s">
        <v>67</v>
      </c>
      <c r="AL100" t="s">
        <v>50</v>
      </c>
      <c r="AM100" t="s">
        <v>140</v>
      </c>
      <c r="AN100" t="s">
        <v>69</v>
      </c>
      <c r="AO100">
        <v>3</v>
      </c>
    </row>
    <row r="101" spans="36:41">
      <c r="AJ101" t="s">
        <v>71</v>
      </c>
      <c r="AK101" t="s">
        <v>67</v>
      </c>
      <c r="AL101" t="s">
        <v>50</v>
      </c>
      <c r="AM101" t="s">
        <v>141</v>
      </c>
      <c r="AN101" t="s">
        <v>69</v>
      </c>
      <c r="AO101">
        <v>2.5</v>
      </c>
    </row>
    <row r="102" spans="36:41">
      <c r="AJ102" t="s">
        <v>71</v>
      </c>
      <c r="AK102" t="s">
        <v>67</v>
      </c>
      <c r="AL102" t="s">
        <v>50</v>
      </c>
      <c r="AM102" t="s">
        <v>140</v>
      </c>
      <c r="AN102" t="s">
        <v>75</v>
      </c>
      <c r="AO102">
        <v>2.5</v>
      </c>
    </row>
    <row r="103" spans="36:41">
      <c r="AJ103" t="s">
        <v>71</v>
      </c>
      <c r="AK103" t="s">
        <v>67</v>
      </c>
      <c r="AL103" t="s">
        <v>50</v>
      </c>
      <c r="AM103" t="s">
        <v>141</v>
      </c>
      <c r="AN103" t="s">
        <v>75</v>
      </c>
      <c r="AO103">
        <v>2</v>
      </c>
    </row>
    <row r="104" spans="36:41">
      <c r="AJ104" t="s">
        <v>71</v>
      </c>
      <c r="AK104" t="s">
        <v>67</v>
      </c>
      <c r="AL104" t="s">
        <v>50</v>
      </c>
      <c r="AM104" t="s">
        <v>140</v>
      </c>
      <c r="AN104" t="s">
        <v>139</v>
      </c>
      <c r="AO104">
        <v>2</v>
      </c>
    </row>
    <row r="105" spans="36:41">
      <c r="AJ105" t="s">
        <v>71</v>
      </c>
      <c r="AK105" t="s">
        <v>67</v>
      </c>
      <c r="AL105" t="s">
        <v>50</v>
      </c>
      <c r="AM105" t="s">
        <v>141</v>
      </c>
      <c r="AN105" t="s">
        <v>139</v>
      </c>
      <c r="AO105">
        <v>1.5</v>
      </c>
    </row>
    <row r="106" spans="36:41">
      <c r="AJ106" t="s">
        <v>71</v>
      </c>
      <c r="AK106" t="s">
        <v>67</v>
      </c>
      <c r="AL106" t="s">
        <v>50</v>
      </c>
      <c r="AM106" t="s">
        <v>140</v>
      </c>
      <c r="AN106" t="s">
        <v>136</v>
      </c>
      <c r="AO106">
        <v>1</v>
      </c>
    </row>
    <row r="107" spans="36:41">
      <c r="AJ107" t="s">
        <v>71</v>
      </c>
      <c r="AK107" t="s">
        <v>67</v>
      </c>
      <c r="AL107" t="s">
        <v>50</v>
      </c>
      <c r="AM107" t="s">
        <v>141</v>
      </c>
      <c r="AN107" t="s">
        <v>136</v>
      </c>
      <c r="AO107">
        <v>1</v>
      </c>
    </row>
    <row r="108" spans="36:41">
      <c r="AJ108" t="s">
        <v>71</v>
      </c>
      <c r="AK108" t="s">
        <v>67</v>
      </c>
      <c r="AL108" t="s">
        <v>56</v>
      </c>
      <c r="AM108" t="s">
        <v>37</v>
      </c>
      <c r="AN108" t="s">
        <v>37</v>
      </c>
      <c r="AO108">
        <v>10</v>
      </c>
    </row>
    <row r="109" spans="36:41">
      <c r="AJ109" t="s">
        <v>71</v>
      </c>
      <c r="AK109" t="s">
        <v>67</v>
      </c>
      <c r="AL109" t="s">
        <v>57</v>
      </c>
      <c r="AM109" t="s">
        <v>23</v>
      </c>
      <c r="AN109" t="s">
        <v>142</v>
      </c>
      <c r="AO109">
        <v>2</v>
      </c>
    </row>
    <row r="110" spans="36:41">
      <c r="AJ110" t="s">
        <v>71</v>
      </c>
      <c r="AK110" t="s">
        <v>67</v>
      </c>
      <c r="AL110" t="s">
        <v>57</v>
      </c>
      <c r="AM110" t="s">
        <v>23</v>
      </c>
      <c r="AN110" t="s">
        <v>143</v>
      </c>
      <c r="AO110">
        <v>1</v>
      </c>
    </row>
    <row r="111" spans="36:41">
      <c r="AJ111" t="s">
        <v>71</v>
      </c>
      <c r="AK111" t="s">
        <v>67</v>
      </c>
      <c r="AL111" t="s">
        <v>57</v>
      </c>
      <c r="AM111" t="s">
        <v>33</v>
      </c>
      <c r="AN111" t="s">
        <v>142</v>
      </c>
      <c r="AO111">
        <v>1</v>
      </c>
    </row>
    <row r="112" spans="36:41">
      <c r="AJ112" t="s">
        <v>71</v>
      </c>
      <c r="AK112" t="s">
        <v>67</v>
      </c>
      <c r="AL112" t="s">
        <v>57</v>
      </c>
      <c r="AM112" t="s">
        <v>33</v>
      </c>
      <c r="AN112" t="s">
        <v>143</v>
      </c>
      <c r="AO112">
        <v>0.5</v>
      </c>
    </row>
  </sheetData>
  <sheetProtection algorithmName="SHA-512" hashValue="OfQX0dH4fg6BLJlke9KTCynlF4UevXJ6KJ0WNOeZoDl8DrX7riZ9C4ymlfSFRlUv2fy/EaflS5pxs2mV6mfohA==" saltValue="0KlXuFJY0J3PeCOyy5MRkw==" spinCount="100000" sheet="1" objects="1"/>
  <dataValidations count="1">
    <dataValidation type="list" allowBlank="1" showInputMessage="1" showErrorMessage="1" sqref="AG7">
      <formula1>"考评优秀,考评合格,未考评"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个人填写表单</vt:lpstr>
      <vt:lpstr>得分表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文雪</cp:lastModifiedBy>
  <dcterms:created xsi:type="dcterms:W3CDTF">2023-08-19T07:50:00Z</dcterms:created>
  <dcterms:modified xsi:type="dcterms:W3CDTF">2026-08-03T10:55:00Z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BC1A3DC77BA14C1EA1A59DA8CDCDDB9B_13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</Properties>
</file>